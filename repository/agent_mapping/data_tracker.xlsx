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1" activeTab="0" autoFilterDateGrouping="1"/>
  </bookViews>
  <sheets>
    <sheet name="Literature summary" sheetId="1" state="visible" r:id="rId1"/>
    <sheet name="Notes" sheetId="2" state="visible" r:id="rId2"/>
    <sheet name="Qual - Exchange Rate" sheetId="3" state="visible" r:id="rId3"/>
    <sheet name="Quant - Exchange Rate" sheetId="4" state="visible" r:id="rId4"/>
    <sheet name="Qual - Monetary Policy" sheetId="5" state="visible" r:id="rId5"/>
    <sheet name="Quant - Monetary Policy" sheetId="6" state="visible" r:id="rId6"/>
    <sheet name="Qual - Economic Activity" sheetId="7" state="visible" r:id="rId7"/>
    <sheet name="Quant - Economic Activity" sheetId="8" state="visible" r:id="rId8"/>
    <sheet name="Qual - Fiscal Policy" sheetId="9" state="visible" r:id="rId9"/>
    <sheet name="Quant - Fiscal Policy" sheetId="10" state="visible" r:id="rId10"/>
    <sheet name="Qual - Inflation" sheetId="11" state="visible" r:id="rId11"/>
    <sheet name="Quant - Inflation" sheetId="12" state="visible" r:id="rId12"/>
    <sheet name="Qual - Labor Market" sheetId="13" state="visible" r:id="rId13"/>
    <sheet name="Quant - Labor Market" sheetId="14" state="visible" r:id="rId14"/>
    <sheet name="Qual - Trader" sheetId="15" state="visible" r:id="rId15"/>
  </sheets>
  <definedNames>
    <definedName name="_xlnm._FilterDatabase" localSheetId="1" hidden="1">'Notes'!$A$1:$E$141</definedName>
    <definedName name="_xlnm._FilterDatabase" localSheetId="2" hidden="1">'Qual - Exchange Rate'!$A$1:$P$45</definedName>
    <definedName name="_xlnm._FilterDatabase" localSheetId="3" hidden="1">'Quant - Exchange Rate'!$A$1:$G$38</definedName>
    <definedName name="_xlnm._FilterDatabase" localSheetId="4" hidden="1">'Qual - Monetary Policy'!$A$1:$P$72</definedName>
    <definedName name="_xlnm._FilterDatabase" localSheetId="5" hidden="1">'Quant - Monetary Policy'!$A$1:$G$29</definedName>
    <definedName name="_xlnm._FilterDatabase" localSheetId="6" hidden="1">'Qual - Economic Activity'!$A$1:$P$44</definedName>
    <definedName name="_xlnm._FilterDatabase" localSheetId="7" hidden="1">'Quant - Economic Activity'!$A$1:$G$33</definedName>
    <definedName name="_xlnm._FilterDatabase" localSheetId="8" hidden="1">'Qual - Fiscal Policy'!$A$1:$P$21</definedName>
    <definedName name="_xlnm._FilterDatabase" localSheetId="9" hidden="1">'Quant - Fiscal Policy'!$A$1:$G$20</definedName>
    <definedName name="_xlnm._FilterDatabase" localSheetId="10" hidden="1">'Qual - Inflation'!$A$1:$P$44</definedName>
    <definedName name="_xlnm._FilterDatabase" localSheetId="11" hidden="1">'Quant - Inflation'!$A$1:$G$45</definedName>
    <definedName name="_xlnm._FilterDatabase" localSheetId="12" hidden="1">'Qual - Labor Market'!$A$1:$P$27</definedName>
    <definedName name="_xlnm._FilterDatabase" localSheetId="13" hidden="1">'Quant - Labor Market'!$A$1:$G$24</definedName>
    <definedName name="_xlnm._FilterDatabase" localSheetId="14" hidden="1">'Qual - Trader'!$A$1:$P$27</definedName>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rgb="FFFFFFFF"/>
      <sz val="10"/>
    </font>
    <font>
      <name val="Calibri"/>
      <family val="2"/>
      <sz val="11"/>
    </font>
    <font>
      <name val="Calibri"/>
      <family val="2"/>
      <b val="1"/>
      <color rgb="FFFFFFFF"/>
      <sz val="10"/>
    </font>
    <font>
      <name val="Calibri"/>
      <family val="2"/>
      <sz val="11"/>
    </font>
    <font>
      <name val="Calibri"/>
      <family val="2"/>
      <sz val="11"/>
    </font>
    <font>
      <name val="Calibri"/>
      <family val="2"/>
      <b val="1"/>
      <color rgb="FFFFFFFF"/>
      <sz val="10"/>
    </font>
    <font>
      <name val="Calibri"/>
      <family val="2"/>
      <sz val="11"/>
    </font>
    <font>
      <name val="Calibri"/>
      <family val="2"/>
      <b val="1"/>
      <sz val="11"/>
    </font>
    <font>
      <name val="Calibri"/>
      <family val="2"/>
      <i val="1"/>
      <color rgb="FF5B6377"/>
      <sz val="10"/>
    </font>
    <font>
      <name val="Calibri"/>
      <b val="1"/>
      <color rgb="00FFFFFF"/>
      <sz val="10"/>
    </font>
    <font>
      <name val="Calibri"/>
      <sz val="11"/>
    </font>
    <font>
      <name val="Calibri"/>
      <b val="1"/>
      <sz val="11"/>
    </font>
    <font>
      <name val="Calibri"/>
      <i val="1"/>
      <color rgb="005B6377"/>
      <sz val="10"/>
    </font>
  </fonts>
  <fills count="23">
    <fill>
      <patternFill/>
    </fill>
    <fill>
      <patternFill patternType="gray125"/>
    </fill>
    <fill>
      <patternFill patternType="solid">
        <fgColor rgb="FF418791"/>
      </patternFill>
    </fill>
    <fill>
      <patternFill patternType="solid">
        <fgColor rgb="FFFBEAE6"/>
      </patternFill>
    </fill>
    <fill>
      <patternFill patternType="solid">
        <fgColor rgb="FFDCEEE8"/>
      </patternFill>
    </fill>
    <fill>
      <patternFill patternType="solid">
        <fgColor rgb="FFFFFF00"/>
      </patternFill>
    </fill>
    <fill>
      <patternFill patternType="solid">
        <fgColor rgb="FFE6E8EE"/>
      </patternFill>
    </fill>
    <fill>
      <patternFill patternType="solid">
        <fgColor rgb="FF418791"/>
      </patternFill>
    </fill>
    <fill>
      <patternFill patternType="solid">
        <fgColor rgb="FFFFF1CC"/>
      </patternFill>
    </fill>
    <fill>
      <patternFill patternType="solid">
        <fgColor rgb="FFDCEEE8"/>
      </patternFill>
    </fill>
    <fill>
      <patternFill patternType="solid">
        <fgColor rgb="FFFFFF00"/>
        <bgColor indexed="64"/>
      </patternFill>
    </fill>
    <fill>
      <patternFill patternType="solid">
        <fgColor rgb="FFDCEEE8"/>
      </patternFill>
    </fill>
    <fill>
      <patternFill patternType="solid">
        <fgColor rgb="FF1F2853"/>
      </patternFill>
    </fill>
    <fill>
      <patternFill patternType="solid">
        <fgColor rgb="FFDCEEE8"/>
      </patternFill>
    </fill>
    <fill>
      <patternFill patternType="solid">
        <fgColor rgb="FFE6E8EE"/>
      </patternFill>
    </fill>
    <fill>
      <patternFill patternType="solid">
        <fgColor rgb="FF418791"/>
      </patternFill>
    </fill>
    <fill>
      <patternFill patternType="solid">
        <fgColor rgb="FFEEF0F5"/>
      </patternFill>
    </fill>
    <fill>
      <patternFill patternType="solid">
        <fgColor rgb="001F2853"/>
      </patternFill>
    </fill>
    <fill>
      <patternFill patternType="solid">
        <fgColor rgb="00DCEEE8"/>
      </patternFill>
    </fill>
    <fill>
      <patternFill patternType="solid">
        <fgColor rgb="00E6E8EE"/>
      </patternFill>
    </fill>
    <fill>
      <patternFill patternType="solid">
        <fgColor rgb="00418791"/>
      </patternFill>
    </fill>
    <fill>
      <patternFill patternType="solid">
        <fgColor rgb="00EEF0F5"/>
      </patternFill>
    </fill>
    <fill>
      <patternFill patternType="solid">
        <fgColor rgb="00FFF1CC"/>
      </patternFill>
    </fill>
  </fills>
  <borders count="15">
    <border>
      <left/>
      <right/>
      <top/>
      <bottom/>
      <diagonal/>
    </border>
    <border>
      <left style="thin">
        <color rgb="FFD7DAE2"/>
      </left>
      <right style="thin">
        <color rgb="FFD7DAE2"/>
      </right>
      <top style="thin">
        <color rgb="FFD7DAE2"/>
      </top>
      <bottom style="thin">
        <color rgb="FFD7DAE2"/>
      </bottom>
      <diagonal/>
    </border>
    <border>
      <left style="thin">
        <color rgb="FFD7DAE2"/>
      </left>
      <right style="thin">
        <color rgb="FFD7DAE2"/>
      </right>
      <top style="thin">
        <color rgb="FFD7DAE2"/>
      </top>
      <bottom style="thin">
        <color rgb="FFD7DAE2"/>
      </bottom>
      <diagonal/>
    </border>
    <border>
      <left style="thin">
        <color rgb="FFD7DAE2"/>
      </left>
      <right style="thin">
        <color rgb="FFD7DAE2"/>
      </right>
      <top style="thin">
        <color rgb="FFD7DAE2"/>
      </top>
      <bottom style="thin">
        <color rgb="FFD7DAE2"/>
      </bottom>
      <diagonal/>
    </border>
    <border>
      <left style="thin">
        <color rgb="FFD7DAE2"/>
      </left>
      <right style="thin">
        <color rgb="FFD7DAE2"/>
      </right>
      <top style="thin">
        <color rgb="FFD7DAE2"/>
      </top>
      <bottom style="thin">
        <color rgb="FFD7DAE2"/>
      </bottom>
      <diagonal/>
    </border>
    <border>
      <left style="thin">
        <color rgb="FFD7DAE2"/>
      </left>
      <right style="thin">
        <color rgb="FFD7DAE2"/>
      </right>
      <top style="thin">
        <color rgb="FFD7DAE2"/>
      </top>
      <bottom style="thin">
        <color rgb="FFD7DAE2"/>
      </bottom>
      <diagonal/>
    </border>
    <border>
      <left/>
      <right style="thin">
        <color rgb="FFD7DAE2"/>
      </right>
      <top style="thin">
        <color rgb="FFD7DAE2"/>
      </top>
      <bottom style="thin">
        <color rgb="FFD7DAE2"/>
      </bottom>
      <diagonal/>
    </border>
    <border>
      <left/>
      <right/>
      <top style="thin">
        <color rgb="FFD7DAE2"/>
      </top>
      <bottom style="thin">
        <color rgb="FFD7DAE2"/>
      </bottom>
      <diagonal/>
    </border>
    <border>
      <left/>
      <right/>
      <top style="thin">
        <color rgb="FFD7DAE2"/>
      </top>
      <bottom/>
      <diagonal/>
    </border>
    <border>
      <left/>
      <right style="thin">
        <color rgb="FFD7DAE2"/>
      </right>
      <top style="thin">
        <color rgb="FFD7DAE2"/>
      </top>
      <bottom/>
      <diagonal/>
    </border>
    <border>
      <left style="thin">
        <color rgb="00D7DAE2"/>
      </left>
      <right style="thin">
        <color rgb="00D7DAE2"/>
      </right>
      <top style="thin">
        <color rgb="00D7DAE2"/>
      </top>
      <bottom style="thin">
        <color rgb="00D7DAE2"/>
      </bottom>
    </border>
    <border>
      <left/>
      <right/>
      <top style="thin">
        <color rgb="00D7DAE2"/>
      </top>
      <bottom/>
      <diagonal/>
    </border>
    <border>
      <left/>
      <right style="thin">
        <color rgb="00D7DAE2"/>
      </right>
      <top style="thin">
        <color rgb="00D7DAE2"/>
      </top>
      <bottom/>
      <diagonal/>
    </border>
    <border>
      <left/>
      <right style="thin">
        <color rgb="00D7DAE2"/>
      </right>
      <top style="thin">
        <color rgb="00D7DAE2"/>
      </top>
      <bottom style="thin">
        <color rgb="00D7DAE2"/>
      </bottom>
      <diagonal/>
    </border>
    <border>
      <left/>
      <right/>
      <top style="thin">
        <color rgb="00D7DAE2"/>
      </top>
      <bottom style="thin">
        <color rgb="00D7DAE2"/>
      </bottom>
      <diagonal/>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wrapText="1"/>
    </xf>
    <xf numFmtId="0" fontId="3" fillId="7" borderId="2" applyAlignment="1" pivotButton="0" quotePrefix="0" xfId="0">
      <alignment horizontal="center" vertical="center" wrapText="1"/>
    </xf>
    <xf numFmtId="0" fontId="2" fillId="0" borderId="2" applyAlignment="1" pivotButton="0" quotePrefix="0" xfId="0">
      <alignment vertical="top" wrapText="1"/>
    </xf>
    <xf numFmtId="0" fontId="2" fillId="0" borderId="2" applyAlignment="1" pivotButton="0" quotePrefix="0" xfId="0">
      <alignment horizontal="center" vertical="top" wrapText="1"/>
    </xf>
    <xf numFmtId="0" fontId="2" fillId="3" borderId="2" applyAlignment="1" pivotButton="0" quotePrefix="0" xfId="0">
      <alignment horizontal="center" vertical="top" wrapText="1"/>
    </xf>
    <xf numFmtId="0" fontId="2" fillId="4" borderId="2" applyAlignment="1" pivotButton="0" quotePrefix="0" xfId="0">
      <alignment horizontal="center" vertical="top" wrapText="1"/>
    </xf>
    <xf numFmtId="0" fontId="2" fillId="5" borderId="2" applyAlignment="1" pivotButton="0" quotePrefix="0" xfId="0">
      <alignment horizontal="center" vertical="top" wrapText="1"/>
    </xf>
    <xf numFmtId="0" fontId="2" fillId="6" borderId="2" applyAlignment="1" pivotButton="0" quotePrefix="0" xfId="0">
      <alignment horizontal="center" vertical="top" wrapText="1"/>
    </xf>
    <xf numFmtId="0" fontId="2" fillId="8" borderId="2" applyAlignment="1" pivotButton="0" quotePrefix="0" xfId="0">
      <alignment horizontal="center" vertical="top" wrapText="1"/>
    </xf>
    <xf numFmtId="0" fontId="4" fillId="0" borderId="3" applyAlignment="1" pivotButton="0" quotePrefix="0" xfId="0">
      <alignment vertical="top" wrapText="1"/>
    </xf>
    <xf numFmtId="0" fontId="4" fillId="0" borderId="3" applyAlignment="1" pivotButton="0" quotePrefix="0" xfId="0">
      <alignment horizontal="center" vertical="top" wrapText="1"/>
    </xf>
    <xf numFmtId="0" fontId="2" fillId="9" borderId="2" applyAlignment="1" pivotButton="0" quotePrefix="0" xfId="0">
      <alignment horizontal="center" vertical="top" wrapText="1"/>
    </xf>
    <xf numFmtId="0" fontId="2" fillId="10" borderId="2" applyAlignment="1" pivotButton="0" quotePrefix="0" xfId="0">
      <alignment vertical="top" wrapText="1"/>
    </xf>
    <xf numFmtId="0" fontId="4" fillId="5" borderId="3" applyAlignment="1" pivotButton="0" quotePrefix="0" xfId="0">
      <alignment horizontal="center" vertical="top" wrapText="1"/>
    </xf>
    <xf numFmtId="0" fontId="5" fillId="0" borderId="4" applyAlignment="1" pivotButton="0" quotePrefix="0" xfId="0">
      <alignment vertical="top" wrapText="1"/>
    </xf>
    <xf numFmtId="0" fontId="5" fillId="0" borderId="4" applyAlignment="1" pivotButton="0" quotePrefix="0" xfId="0">
      <alignment horizontal="center" vertical="top" wrapText="1"/>
    </xf>
    <xf numFmtId="0" fontId="5" fillId="11" borderId="4" applyAlignment="1" pivotButton="0" quotePrefix="0" xfId="0">
      <alignment horizontal="center" vertical="top" wrapText="1"/>
    </xf>
    <xf numFmtId="0" fontId="2" fillId="11" borderId="2" applyAlignment="1" pivotButton="0" quotePrefix="0" xfId="0">
      <alignment horizontal="center" vertical="top" wrapText="1"/>
    </xf>
    <xf numFmtId="0" fontId="6" fillId="15" borderId="5" applyAlignment="1" pivotButton="0" quotePrefix="0" xfId="0">
      <alignment horizontal="center" vertical="center" wrapText="1"/>
    </xf>
    <xf numFmtId="0" fontId="6" fillId="12" borderId="5" applyAlignment="1" pivotButton="0" quotePrefix="0" xfId="0">
      <alignment horizontal="center" vertical="center" wrapText="1"/>
    </xf>
    <xf numFmtId="0" fontId="7" fillId="0" borderId="5" applyAlignment="1" pivotButton="0" quotePrefix="0" xfId="0">
      <alignment horizontal="left" vertical="center"/>
    </xf>
    <xf numFmtId="0" fontId="7" fillId="0" borderId="5" applyAlignment="1" pivotButton="0" quotePrefix="0" xfId="0">
      <alignment horizontal="center" vertical="center"/>
    </xf>
    <xf numFmtId="9" fontId="7" fillId="0" borderId="5" applyAlignment="1" pivotButton="0" quotePrefix="0" xfId="0">
      <alignment horizontal="center" vertical="center"/>
    </xf>
    <xf numFmtId="0" fontId="8" fillId="16" borderId="5" applyAlignment="1" pivotButton="0" quotePrefix="0" xfId="0">
      <alignment horizontal="left" vertical="center"/>
    </xf>
    <xf numFmtId="0" fontId="8" fillId="16" borderId="5" applyAlignment="1" pivotButton="0" quotePrefix="0" xfId="0">
      <alignment horizontal="center" vertical="center"/>
    </xf>
    <xf numFmtId="9" fontId="8" fillId="16" borderId="5" applyAlignment="1" pivotButton="0" quotePrefix="0" xfId="0">
      <alignment horizontal="center" vertical="center"/>
    </xf>
    <xf numFmtId="0" fontId="9" fillId="0" borderId="0" pivotButton="0" quotePrefix="0" xfId="0"/>
    <xf numFmtId="0" fontId="7" fillId="0" borderId="5" applyAlignment="1" pivotButton="0" quotePrefix="0" xfId="0">
      <alignment vertical="top" wrapText="1"/>
    </xf>
    <xf numFmtId="0" fontId="7" fillId="0" borderId="5" applyAlignment="1" pivotButton="0" quotePrefix="0" xfId="0">
      <alignment horizontal="center" vertical="top" wrapText="1"/>
    </xf>
    <xf numFmtId="0" fontId="7" fillId="13" borderId="5" applyAlignment="1" pivotButton="0" quotePrefix="0" xfId="0">
      <alignment horizontal="center" vertical="top" wrapText="1"/>
    </xf>
    <xf numFmtId="0" fontId="2" fillId="13" borderId="2" applyAlignment="1" pivotButton="0" quotePrefix="0" xfId="0">
      <alignment horizontal="center" vertical="top" wrapText="1"/>
    </xf>
    <xf numFmtId="0" fontId="7" fillId="14" borderId="5" applyAlignment="1" pivotButton="0" quotePrefix="0" xfId="0">
      <alignment horizontal="center" vertical="top" wrapText="1"/>
    </xf>
    <xf numFmtId="0" fontId="6" fillId="15" borderId="5" applyAlignment="1" pivotButton="0" quotePrefix="0" xfId="0">
      <alignment horizontal="center" vertical="center" wrapText="1"/>
    </xf>
    <xf numFmtId="0" fontId="0" fillId="0" borderId="6" pivotButton="0" quotePrefix="0" xfId="0"/>
    <xf numFmtId="0" fontId="6" fillId="12" borderId="5" applyAlignment="1" pivotButton="0" quotePrefix="0" xfId="0">
      <alignment horizontal="center" vertical="center" wrapText="1"/>
    </xf>
    <xf numFmtId="0" fontId="0" fillId="0" borderId="7" pivotButton="0" quotePrefix="0" xfId="0"/>
    <xf numFmtId="0" fontId="7" fillId="10" borderId="5" applyAlignment="1" pivotButton="0" quotePrefix="0" xfId="0">
      <alignment horizontal="center" vertical="center"/>
    </xf>
    <xf numFmtId="9" fontId="7" fillId="10" borderId="5" applyAlignment="1" pivotButton="0" quotePrefix="0" xfId="0">
      <alignment horizontal="center" vertical="center"/>
    </xf>
    <xf numFmtId="0" fontId="2" fillId="10" borderId="2" applyAlignment="1" pivotButton="0" quotePrefix="0" xfId="0">
      <alignment horizontal="center" vertical="top" wrapText="1"/>
    </xf>
    <xf numFmtId="0" fontId="10" fillId="20" borderId="10" applyAlignment="1" pivotButton="0" quotePrefix="0" xfId="0">
      <alignment horizontal="center" vertical="center" wrapText="1"/>
    </xf>
    <xf numFmtId="0" fontId="0" fillId="0" borderId="13" pivotButton="0" quotePrefix="0" xfId="0"/>
    <xf numFmtId="0" fontId="10" fillId="17" borderId="10" applyAlignment="1" pivotButton="0" quotePrefix="0" xfId="0">
      <alignment horizontal="center" vertical="center" wrapText="1"/>
    </xf>
    <xf numFmtId="0" fontId="0" fillId="0" borderId="14" pivotButton="0" quotePrefix="0" xfId="0"/>
    <xf numFmtId="0" fontId="11" fillId="0" borderId="10" applyAlignment="1" pivotButton="0" quotePrefix="0" xfId="0">
      <alignment horizontal="left" vertical="center"/>
    </xf>
    <xf numFmtId="0" fontId="11" fillId="0" borderId="10" applyAlignment="1" pivotButton="0" quotePrefix="0" xfId="0">
      <alignment horizontal="center" vertical="center"/>
    </xf>
    <xf numFmtId="9" fontId="11" fillId="0" borderId="10" applyAlignment="1" pivotButton="0" quotePrefix="0" xfId="0">
      <alignment horizontal="center" vertical="center"/>
    </xf>
    <xf numFmtId="0" fontId="12" fillId="21" borderId="10" applyAlignment="1" pivotButton="0" quotePrefix="0" xfId="0">
      <alignment horizontal="left" vertical="center"/>
    </xf>
    <xf numFmtId="0" fontId="12" fillId="21" borderId="10" applyAlignment="1" pivotButton="0" quotePrefix="0" xfId="0">
      <alignment horizontal="center" vertical="center"/>
    </xf>
    <xf numFmtId="9" fontId="12" fillId="21" borderId="10" applyAlignment="1" pivotButton="0" quotePrefix="0" xfId="0">
      <alignment horizontal="center" vertical="center"/>
    </xf>
    <xf numFmtId="0" fontId="13" fillId="0" borderId="0" pivotButton="0" quotePrefix="0" xfId="0"/>
    <xf numFmtId="0" fontId="11" fillId="0" borderId="10" applyAlignment="1" pivotButton="0" quotePrefix="0" xfId="0">
      <alignment vertical="top" wrapText="1"/>
    </xf>
    <xf numFmtId="0" fontId="11" fillId="0" borderId="10" applyAlignment="1" pivotButton="0" quotePrefix="0" xfId="0">
      <alignment horizontal="center" vertical="top" wrapText="1"/>
    </xf>
    <xf numFmtId="0" fontId="11" fillId="18" borderId="10" applyAlignment="1" pivotButton="0" quotePrefix="0" xfId="0">
      <alignment horizontal="center" vertical="top" wrapText="1"/>
    </xf>
    <xf numFmtId="0" fontId="11" fillId="19" borderId="10" applyAlignment="1" pivotButton="0" quotePrefix="0" xfId="0">
      <alignment horizontal="center" vertical="top" wrapText="1"/>
    </xf>
    <xf numFmtId="0" fontId="11" fillId="22" borderId="10"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2.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3.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4.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5.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6.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comments/comment7.xml><?xml version="1.0" encoding="utf-8"?>
<comments xmlns="http://schemas.openxmlformats.org/spreadsheetml/2006/main">
  <authors>
    <author>ingestion</author>
  </authors>
  <commentList>
    <comment ref="J1" authorId="0" shapeId="0">
      <text>
        <t>The navy columns (J-P) are written by repository/ingestion/scripts/tracker.py after every ingestion; edits in them are overwritten. The teal columns (A-I) are yours.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5.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H15"/>
  <sheetViews>
    <sheetView showGridLines="0" zoomScale="100"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2" customHeight="1">
      <c r="A1" s="40" t="n"/>
      <c r="B1" s="40" t="inlineStr">
        <is>
          <t>The list</t>
        </is>
      </c>
      <c r="C1" s="41" t="n"/>
      <c r="D1" s="42" t="inlineStr">
        <is>
          <t>Ingestion (text into the vault)</t>
        </is>
      </c>
      <c r="E1" s="43" t="n"/>
      <c r="F1" s="41" t="n"/>
      <c r="G1" s="42" t="inlineStr">
        <is>
          <t>Synthesis</t>
        </is>
      </c>
      <c r="H1" s="41" t="n"/>
    </row>
    <row r="2" ht="30" customHeight="1">
      <c r="A2" s="40" t="inlineStr">
        <is>
          <t>Area</t>
        </is>
      </c>
      <c r="B2" s="40" t="inlineStr">
        <is>
          <t>Sources</t>
        </is>
      </c>
      <c r="C2" s="40" t="inlineStr">
        <is>
          <t>Acquired</t>
        </is>
      </c>
      <c r="D2" s="42" t="inlineStr">
        <is>
          <t>Ingested</t>
        </is>
      </c>
      <c r="E2" s="42" t="inlineStr">
        <is>
          <t>% of sources</t>
        </is>
      </c>
      <c r="F2" s="42" t="inlineStr">
        <is>
          <t>Needs attention</t>
        </is>
      </c>
      <c r="G2" s="42" t="inlineStr">
        <is>
          <t>Synthesized</t>
        </is>
      </c>
      <c r="H2" s="42" t="inlineStr">
        <is>
          <t>% of sources</t>
        </is>
      </c>
    </row>
    <row r="3" ht="20" customHeight="1">
      <c r="A3" s="44" t="inlineStr">
        <is>
          <t>Economic Activity</t>
        </is>
      </c>
      <c r="B3" s="45">
        <f>COUNTA('Qual - Economic Activity'!A:A)-1-COUNTIF('Qual - Economic Activity'!E:E,"Dropped")</f>
        <v/>
      </c>
      <c r="C3" s="45">
        <f>COUNTIF('Qual - Economic Activity'!E:E,"Yes")</f>
        <v/>
      </c>
      <c r="D3" s="45">
        <f>COUNTIF('Qual - Economic Activity'!K:K,"Ingested")</f>
        <v/>
      </c>
      <c r="E3" s="46">
        <f>IF(B3=0,"",D3/B3)</f>
        <v/>
      </c>
      <c r="F3" s="45">
        <f>COUNTIF('Qual - Economic Activity'!K:K,"Needs attention")</f>
        <v/>
      </c>
      <c r="G3" s="45">
        <f>COUNTIF('Qual - Economic Activity'!O:O,"Yes")</f>
        <v/>
      </c>
      <c r="H3" s="46">
        <f>IF(B3=0,"",G3/B3)</f>
        <v/>
      </c>
    </row>
    <row r="4" ht="20" customHeight="1">
      <c r="A4" s="44" t="inlineStr">
        <is>
          <t>Exchange Rate</t>
        </is>
      </c>
      <c r="B4" s="45">
        <f>COUNTA('Qual - Exchange Rate'!A:A)-1-COUNTIF('Qual - Exchange Rate'!E:E,"Dropped")</f>
        <v/>
      </c>
      <c r="C4" s="45">
        <f>COUNTIF('Qual - Exchange Rate'!E:E,"Yes")</f>
        <v/>
      </c>
      <c r="D4" s="45">
        <f>COUNTIF('Qual - Exchange Rate'!K:K,"Ingested")</f>
        <v/>
      </c>
      <c r="E4" s="46">
        <f>IF(B4=0,"",D4/B4)</f>
        <v/>
      </c>
      <c r="F4" s="45">
        <f>COUNTIF('Qual - Exchange Rate'!K:K,"Needs attention")</f>
        <v/>
      </c>
      <c r="G4" s="45">
        <f>COUNTIF('Qual - Exchange Rate'!O:O,"Yes")</f>
        <v/>
      </c>
      <c r="H4" s="46">
        <f>IF(B4=0,"",G4/B4)</f>
        <v/>
      </c>
    </row>
    <row r="5" ht="20" customHeight="1">
      <c r="A5" s="44" t="inlineStr">
        <is>
          <t>Fiscal Policy</t>
        </is>
      </c>
      <c r="B5" s="45">
        <f>COUNTA('Qual - Fiscal Policy'!A:A)-1-COUNTIF('Qual - Fiscal Policy'!E:E,"Dropped")</f>
        <v/>
      </c>
      <c r="C5" s="45">
        <f>COUNTIF('Qual - Fiscal Policy'!E:E,"Yes")</f>
        <v/>
      </c>
      <c r="D5" s="45">
        <f>COUNTIF('Qual - Fiscal Policy'!K:K,"Ingested")</f>
        <v/>
      </c>
      <c r="E5" s="46">
        <f>IF(B5=0,"",D5/B5)</f>
        <v/>
      </c>
      <c r="F5" s="45">
        <f>COUNTIF('Qual - Fiscal Policy'!K:K,"Needs attention")</f>
        <v/>
      </c>
      <c r="G5" s="45">
        <f>COUNTIF('Qual - Fiscal Policy'!O:O,"Yes")</f>
        <v/>
      </c>
      <c r="H5" s="46">
        <f>IF(B5=0,"",G5/B5)</f>
        <v/>
      </c>
    </row>
    <row r="6" ht="20" customHeight="1">
      <c r="A6" s="44" t="inlineStr">
        <is>
          <t>Inflation</t>
        </is>
      </c>
      <c r="B6" s="45">
        <f>COUNTA('Qual - Inflation'!A:A)-1-COUNTIF('Qual - Inflation'!E:E,"Dropped")</f>
        <v/>
      </c>
      <c r="C6" s="45">
        <f>COUNTIF('Qual - Inflation'!E:E,"Yes")</f>
        <v/>
      </c>
      <c r="D6" s="45">
        <f>COUNTIF('Qual - Inflation'!K:K,"Ingested")</f>
        <v/>
      </c>
      <c r="E6" s="46">
        <f>IF(B6=0,"",D6/B6)</f>
        <v/>
      </c>
      <c r="F6" s="45">
        <f>COUNTIF('Qual - Inflation'!K:K,"Needs attention")</f>
        <v/>
      </c>
      <c r="G6" s="45">
        <f>COUNTIF('Qual - Inflation'!O:O,"Yes")</f>
        <v/>
      </c>
      <c r="H6" s="46">
        <f>IF(B6=0,"",G6/B6)</f>
        <v/>
      </c>
    </row>
    <row r="7" ht="20" customHeight="1">
      <c r="A7" s="44" t="inlineStr">
        <is>
          <t>Labor Market</t>
        </is>
      </c>
      <c r="B7" s="45">
        <f>COUNTA('Qual - Labor Market'!A:A)-1-COUNTIF('Qual - Labor Market'!E:E,"Dropped")</f>
        <v/>
      </c>
      <c r="C7" s="45">
        <f>COUNTIF('Qual - Labor Market'!E:E,"Yes")</f>
        <v/>
      </c>
      <c r="D7" s="45">
        <f>COUNTIF('Qual - Labor Market'!K:K,"Ingested")</f>
        <v/>
      </c>
      <c r="E7" s="46">
        <f>IF(B7=0,"",D7/B7)</f>
        <v/>
      </c>
      <c r="F7" s="45">
        <f>COUNTIF('Qual - Labor Market'!K:K,"Needs attention")</f>
        <v/>
      </c>
      <c r="G7" s="45">
        <f>COUNTIF('Qual - Labor Market'!O:O,"Yes")</f>
        <v/>
      </c>
      <c r="H7" s="46">
        <f>IF(B7=0,"",G7/B7)</f>
        <v/>
      </c>
    </row>
    <row r="8" ht="20" customHeight="1">
      <c r="A8" s="44" t="inlineStr">
        <is>
          <t>Monetary Policy</t>
        </is>
      </c>
      <c r="B8" s="45">
        <f>COUNTA('Qual - Monetary Policy'!A:A)-1-COUNTIF('Qual - Monetary Policy'!E:E,"Dropped")</f>
        <v/>
      </c>
      <c r="C8" s="45">
        <f>COUNTIF('Qual - Monetary Policy'!E:E,"Yes")</f>
        <v/>
      </c>
      <c r="D8" s="45">
        <f>COUNTIF('Qual - Monetary Policy'!K:K,"Ingested")</f>
        <v/>
      </c>
      <c r="E8" s="46">
        <f>IF(B8=0,"",D8/B8)</f>
        <v/>
      </c>
      <c r="F8" s="45">
        <f>COUNTIF('Qual - Monetary Policy'!K:K,"Needs attention")</f>
        <v/>
      </c>
      <c r="G8" s="45">
        <f>COUNTIF('Qual - Monetary Policy'!O:O,"Yes")</f>
        <v/>
      </c>
      <c r="H8" s="46">
        <f>IF(B8=0,"",G8/B8)</f>
        <v/>
      </c>
    </row>
    <row r="9" ht="20" customHeight="1">
      <c r="A9" s="44" t="inlineStr">
        <is>
          <t>Trader</t>
        </is>
      </c>
      <c r="B9" s="45">
        <f>COUNTA('Qual - Trader'!A:A)-1-COUNTIF('Qual - Trader'!E:E,"Dropped")</f>
        <v/>
      </c>
      <c r="C9" s="45">
        <f>COUNTIF('Qual - Trader'!E:E,"Yes")</f>
        <v/>
      </c>
      <c r="D9" s="45">
        <f>COUNTIF('Qual - Trader'!K:K,"Ingested")</f>
        <v/>
      </c>
      <c r="E9" s="46">
        <f>IF(B9=0,"",D9/B9)</f>
        <v/>
      </c>
      <c r="F9" s="45">
        <f>COUNTIF('Qual - Trader'!K:K,"Needs attention")</f>
        <v/>
      </c>
      <c r="G9" s="45">
        <f>COUNTIF('Qual - Trader'!O:O,"Yes")</f>
        <v/>
      </c>
      <c r="H9" s="46">
        <f>IF(B9=0,"",G9/B9)</f>
        <v/>
      </c>
    </row>
    <row r="10" ht="20" customHeight="1">
      <c r="A10" s="47" t="inlineStr">
        <is>
          <t>Total</t>
        </is>
      </c>
      <c r="B10" s="48">
        <f>SUM(B3:B9)</f>
        <v/>
      </c>
      <c r="C10" s="48">
        <f>SUM(C3:C9)</f>
        <v/>
      </c>
      <c r="D10" s="48">
        <f>SUM(D3:D9)</f>
        <v/>
      </c>
      <c r="E10" s="49">
        <f>IF(B10=0,"",D10/B10)</f>
        <v/>
      </c>
      <c r="F10" s="48">
        <f>SUM(F3:F9)</f>
        <v/>
      </c>
      <c r="G10" s="48">
        <f>SUM(G3:G9)</f>
        <v/>
      </c>
      <c r="H10" s="49">
        <f>IF(B10=0,"",G10/B10)</f>
        <v/>
      </c>
    </row>
    <row r="12">
      <c r="A12" s="50" t="inlineStr">
        <is>
          <t>Sources: rows of the area tab, one per file (a book has a row per chapter), dropped rows excluded. Acquired: the PDF is in the folder. Ingested: its text is in the vault. Needs attention: ingestion was tried and the tools could not read it (a scan, a broken font — the reason is in the area tab). Synthesized: the ingested file has a synthesis note. Both % columns divide by Sources.</t>
        </is>
      </c>
    </row>
    <row r="13">
      <c r="A13" s="50" t="inlineStr">
        <is>
          <t>Acquired but neither Ingested nor Needs attention: not run yet (/ingest), or the area is on hold in settings.yaml (Trader). Recurring BCB documents (Copom statement, minutes, RPM) reach the vault through the Copom ETL and have no row here.</t>
        </is>
      </c>
    </row>
    <row r="14">
      <c r="A14" s="50" t="inlineStr">
        <is>
          <t>The reasoning behind each area's list — scope, cluster notes, open gaps, acquisition order — is in the Notes tab.</t>
        </is>
      </c>
    </row>
    <row r="15">
      <c r="A15" s="50" t="inlineStr">
        <is>
          <t>Written by repository/ingestion/scripts/tracker.py on every ingestion. In the area tabs, teal columns are yours, navy ones the system's.</t>
        </is>
      </c>
    </row>
  </sheetData>
  <mergeCells count="3">
    <mergeCell ref="B1:C1"/>
    <mergeCell ref="D1:F1"/>
    <mergeCell ref="G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showGridLines="0" zoomScale="130" zoomScaleNormal="130" workbookViewId="0">
      <pane ySplit="1" topLeftCell="A6" activePane="bottomLeft" state="frozen"/>
      <selection activeCell="B7" sqref="B7"/>
      <selection pane="bottomLeft" activeCell="B7" sqref="B7"/>
    </sheetView>
  </sheetViews>
  <sheetFormatPr baseColWidth="8" defaultRowHeight="14.4"/>
  <cols>
    <col width="18" customWidth="1" min="1" max="1"/>
    <col width="11" customWidth="1" min="2" max="2"/>
    <col width="34" customWidth="1" min="3" max="3"/>
    <col width="50" customWidth="1" min="4" max="4"/>
    <col width="110" customWidth="1" min="5" max="5"/>
  </cols>
  <sheetData>
    <row r="1" ht="27.6" customHeight="1">
      <c r="A1" s="2" t="inlineStr">
        <is>
          <t>Area</t>
        </is>
      </c>
      <c r="B1" s="2" t="inlineStr">
        <is>
          <t>Kind</t>
        </is>
      </c>
      <c r="C1" s="2" t="inlineStr">
        <is>
          <t>Cluster / section</t>
        </is>
      </c>
      <c r="D1" s="2" t="inlineStr">
        <is>
          <t>What it covers</t>
        </is>
      </c>
      <c r="E1" s="2" t="inlineStr">
        <is>
          <t>Notes</t>
        </is>
      </c>
    </row>
    <row r="2" ht="94.05" customHeight="1">
      <c r="A2" s="3" t="inlineStr">
        <is>
          <t>Exchange Rate</t>
        </is>
      </c>
      <c r="B2" s="3" t="inlineStr">
        <is>
          <t>Literature</t>
        </is>
      </c>
      <c r="C2" s="3" t="inlineStr">
        <is>
          <t>(whole area)</t>
        </is>
      </c>
      <c r="D2" s="3" t="inlineStr">
        <is>
          <t>Scope</t>
        </is>
      </c>
      <c r="E2" s="3" t="inlineStr">
        <is>
          <t>Excluded here: #pass_through_and_inflation. That cluster sits at a genuine intersection between this exchange-rate bibliography and the inflation agent's own bibliography (the Qual - Inflation tab) — which side of that boundary owns exchange-rate pass-through hasn't been decided yet, the same kind of explicit scope call other topics in this series have had to make (e.g. fiscal policy vs. monetary policy on fiscal dominance, in the Qual - Fiscal Policy tab). Goldfajn &amp; Werlang (2000), Belaisch (2003), and Araújo/Caldarelli/Cortapasso (2023) remain exactly where they are in exchange_rate_conceptual_map.md and repository/exchange_rate/ — only removed from this consolidated list pending that ownership decision.</t>
        </is>
      </c>
    </row>
    <row r="3" ht="53.4" customHeight="1">
      <c r="A3" s="3" t="inlineStr">
        <is>
          <t>Exchange Rate</t>
        </is>
      </c>
      <c r="B3" s="3" t="inlineStr">
        <is>
          <t>Literature</t>
        </is>
      </c>
      <c r="C3" s="3" t="inlineStr">
        <is>
          <t>(whole area)</t>
        </is>
      </c>
      <c r="D3" s="3" t="inlineStr">
        <is>
          <t>Where the base is strong (multiple independent sources converge)</t>
        </is>
      </c>
      <c r="E3" s="3" t="inlineStr">
        <is>
          <t>- Interest-rate/exchange-rate parity conditions (UIP, CIP, real interest parity, international Fisher effect) — covered from five independent angles (CFA L1/L2, Krugman Ch. 14/16, Dornbusch, and now Fama's 1984 original econometric source) that consistently cross-reference and refine each other. This is the single best-supported cluster in the base, and now includes the actual academic origin of the "wrong-signed beta"/forward-premium-puzzle result the other sources describe narratively.
- Exchange-rate pass-through, with a genuine Brazil specialization — five sources (Goldfajn 2000, Belaisch 2003, Krugman Ch. 17's Marshall-Lerner/J-curve, Cortapasso et al. 2023, and the BCB note) build a coherent, empirically-grounded, Brazil-specific picture: aggregate pass-through → distribution-chain detail → formal elasticity conditions → state-dependent/asymmetric refinement → market-plumbing detail. This is arguably the base's most distinctive strength relative to a generic textbook treatment, and directly serves LIS's Brazil macro mandate.
- Fixed-rate mechanics and currency crises — now the base's deepest cluster after the 2026-07 addition of five academic crisis-model papers (sources 19-23). The operational "how a peg is actually defended, and how it breaks" story (Mundell 1963 → Krugman Ch. 18 → CFA L2's warning-sign checklist → four case studies: Malaysia, Iceland, Switzerland, Brazil 2002-2011) is now backed by the full academic theoretical spine it previously lacked: the original first-generation model and its linear/stochastic companion (Krugman 1979; Flood &amp; Garber 1983/84), the original second-generation self-fulfilling model (Obstfeld 1984), and both major competing third-generation models (Krugman's balance-sheet/transfer-problem model, 2000; Chang &amp; Velasco's open-economy bank-run model, 1998) — including their own direct debate with each other over which mechanism actually drove the 1997-98 Asian crisis. Includes a strong-currency defense (Switzerland), a non-crisis cautionary tale (Brazil), and now a first-hand methodological self-critique (Garber's "generational taxonomy is a name swindle" comment) — a genuinely well-rounded, non-one-note treatment of the topic.
- Equilibrium/fair-value estimation (BEER/GSDEER/GSFEER) — the two major methodological families (academic BEER, practitioner GSDEER, and now GSFEER) are all present with enough detail to compare their assumptions, failure modes, and current live signals for BRL specifically.
- Capital controls as a policy tool — no longer a single-source cluster after the 2026-07 addition of both the empirical precursor (Ostry et al., 2010) and the IMF's own official institutional doctrine (2012 Board paper). Together with the case-study material already in #currency_crisis_dynamics/#balance_of_payments, the base now covers the full arc: when controls are justified (four-condition test), how effective they actually are (composition vs. volume effects, the 2008-09 natural experiment), the CFM/MPM terminology distinction, liberalization sequencing, and the multilateral-spillover case against unilateral overuse.
- Currency regime choice, from first principles — Mundell's 1961 OCA paper (added 2026-07) now sits alongside his 1963 capital-mobility paper, giving the base both halves of Mundell's own regime-choice framework: which geographic unit should share a currency (1961) and what a shared/fixed currency costs in terms of monetary independence (1963) — directly relevant to any EMU-style or dollarization-adjacent regime analysis.
- Political economy of exchange rate policy — no longer a narrative-only gap after the addition of Frieden (1991), the canonical sectoral-interests paper. The base now has a genuine theoretical answer to "who wins and loses, domestically, from a given exchange-rate regime or level" — directly deepening the previously narrative-only Cortapasso et al. discussion of Brazilian political-currency dynamics.</t>
        </is>
      </c>
    </row>
    <row r="4" ht="184.05" customHeight="1">
      <c r="A4" s="3" t="inlineStr">
        <is>
          <t>Exchange Rate</t>
        </is>
      </c>
      <c r="B4" s="3" t="inlineStr">
        <is>
          <t>Literature</t>
        </is>
      </c>
      <c r="C4" s="3" t="inlineStr">
        <is>
          <t>(whole area)</t>
        </is>
      </c>
      <c r="D4" s="3" t="inlineStr">
        <is>
          <t>Where the base is thin (single source, or gaps entirely)</t>
        </is>
      </c>
      <c r="E4" s="3" t="inlineStr">
        <is>
          <t>- Gaps not represented in the base at all (see the Qual - Exchange Rate tab for concrete candidate sources and priority order):
- FX options and volatility — forwards, swaps, and futures are covered; option pricing, implied vol surfaces, and risk-reversal/skew as an FX positioning indicator are not.
- China/RMB, or any large non-Brazil EM case study — the EM material in this base is almost entirely Brazil-specific; there's no equivalent depth for, say, RMB internationalization/managed float mechanics, or the "original sin" (EM local-currency debt market) literature.
- Brazil-specific capital controls empirics (Chamon &amp; Garcia's 2016 IOF-tax study) — the base now has the general institutional-view framework but not a dedicated empirical test on Brazil's own 2008-2012 episode; a natural next addition given the base's Brazil mandate.
- The other two classic OCA papers (McKinnon 1963, Kenen 1969) — Mundell's OCA paper is now in the base, but the trio that forms the standard OCA canon isn't complete.</t>
        </is>
      </c>
    </row>
    <row r="5" ht="199.05" customHeight="1">
      <c r="A5" s="3" t="inlineStr">
        <is>
          <t>Exchange Rate</t>
        </is>
      </c>
      <c r="B5" s="3" t="inlineStr">
        <is>
          <t>Literature</t>
        </is>
      </c>
      <c r="C5" s="3" t="inlineStr">
        <is>
          <t>(whole area)</t>
        </is>
      </c>
      <c r="D5" s="3" t="inlineStr">
        <is>
          <t>Which data backs which cluster (folded in 2026-09-10)</t>
        </is>
      </c>
      <c r="E5" s="3" t="inlineStr">
        <is>
          <t>Reading the map from the data side instead of the literature side gives three findings the cluster-by-cluster bullets don't show on their own:
- Two data categories carry most of the base. Carry/rate differential (§2) and reserves/intervention (§6) each connect to four clusters — determination, valuation, crisis dynamics or regimes, and the practitioner layer. They are cited from the most distinct theoretical angles, so a defect in either propagates furthest.
- One cluster connects to nothing: #policy_transmission (see the note in its own section). Eight of nine clusters have at least one series behind them; the ninth is the base's most political-economy-flavoured, and nothing in the pipeline measures it.
- A single series usually needs more than one lens. Terms of trade (§3) and positioning (§8) each feed three clusters spanning both the academic literature and the Verde practitioner layer — a reminder that reading either through one theory at a time is a choice, not a default.
And two gaps turn out to be the same gap seen from two sides, which is the argument for keeping the two layers in one file: FX options have neither a series (§8) nor a source (Garman-Kohlhagen), and non-Brazil EM depth has neither the REER peers (§7) nor the literature (Eichengreen &amp; Hausmann). Closing one half of either would leave the other half still open.</t>
        </is>
      </c>
    </row>
    <row r="6" ht="184.05" customHeight="1">
      <c r="A6" s="3" t="inlineStr">
        <is>
          <t>Exchange Rate</t>
        </is>
      </c>
      <c r="B6" s="3" t="inlineStr">
        <is>
          <t>Literature</t>
        </is>
      </c>
      <c r="C6" s="3" t="inlineStr">
        <is>
          <t>(whole area)</t>
        </is>
      </c>
      <c r="D6" s="3" t="inlineStr">
        <is>
          <t>One-paragraph overview (for board use)</t>
        </is>
      </c>
      <c r="E6" s="3" t="inlineStr">
        <is>
          <t>The exchange-rate bibliography covers the full standard arc of international-finance theory — from FX market mechanics and quoting conventions, through the interest-rate-parity/PPP family that links currencies to interest rates and inflation (now including the original UIP-failure econometrics, Fama 1984), to the two workhorse short-run models (Mundell-Fleming policy transmission and Dornbusch overshooting) and their long-run monetary counterparts — and grounds all of it in practitioner tools actually used to value currencies today (BEER, GSDEER, GSFEER) plus a now-comprehensive, multi-generational treatment of how currency crises build and break, spanning the field's original academic models (Krugman 1979, Flood &amp; Garber, Obstfeld 1984) through both competing third-generation accounts of the Asian crisis (Krugman 2000, Chang &amp; Velasco 1998). It also now covers currency-regime choice from first principles (Mundell's OCA theory), capital-flow management as an official policy doctrine (the IMF's institutional view and its empirical precursor), and the political economy of exchange-rate policy (Frieden's sectoral-interests framework). Its standout strengths are a genuinely deep, Brazil-specific thread on exchange-rate pass-through and BCB market operations, and an equally deep academic-theory-plus-case-study treatment of currency crisis dynamics and capital account policy. Its main remaining gaps are FX options/volatility and comparative EM depth beyond Brazil.</t>
        </is>
      </c>
    </row>
    <row r="7" ht="19.05" customHeight="1">
      <c r="A7" s="3" t="inlineStr">
        <is>
          <t>Exchange Rate</t>
        </is>
      </c>
      <c r="B7" s="13" t="inlineStr">
        <is>
          <t>Literature</t>
        </is>
      </c>
      <c r="C7" s="3" t="inlineStr">
        <is>
          <t>#market_microstructure</t>
        </is>
      </c>
      <c r="D7" s="3" t="inlineStr">
        <is>
          <t>FX market structure, quoting, and plumbing</t>
        </is>
      </c>
      <c r="E7" s="3" t="n"/>
    </row>
    <row r="8" ht="19.05" customHeight="1">
      <c r="A8" s="3" t="inlineStr">
        <is>
          <t>Exchange Rate</t>
        </is>
      </c>
      <c r="B8" s="3" t="inlineStr">
        <is>
          <t>Literature</t>
        </is>
      </c>
      <c r="C8" s="3" t="inlineStr">
        <is>
          <t>#exchange_rate_determination</t>
        </is>
      </c>
      <c r="D8" s="3" t="inlineStr">
        <is>
          <t>nominal, real, and equilibrium exchange rates</t>
        </is>
      </c>
      <c r="E8" s="3" t="n"/>
    </row>
    <row r="9" ht="19.05" customHeight="1">
      <c r="A9" s="3" t="inlineStr">
        <is>
          <t>Exchange Rate</t>
        </is>
      </c>
      <c r="B9" s="3" t="inlineStr">
        <is>
          <t>Literature</t>
        </is>
      </c>
      <c r="C9" s="3" t="inlineStr">
        <is>
          <t>#currency_regimes</t>
        </is>
      </c>
      <c r="D9" s="3" t="inlineStr">
        <is>
          <t>regime choice, OCA theory, and the trilemma</t>
        </is>
      </c>
      <c r="E9" s="3" t="n"/>
    </row>
    <row r="10" ht="34.05" customHeight="1">
      <c r="A10" s="3" t="inlineStr">
        <is>
          <t>Exchange Rate</t>
        </is>
      </c>
      <c r="B10" s="3" t="inlineStr">
        <is>
          <t>Literature</t>
        </is>
      </c>
      <c r="C10" s="3" t="inlineStr">
        <is>
          <t>#balance_of_payments</t>
        </is>
      </c>
      <c r="D10" s="3" t="inlineStr">
        <is>
          <t>trade, capital flows, and the accounting identities</t>
        </is>
      </c>
      <c r="E10" s="3" t="inlineStr">
        <is>
          <t>No open gaps currently flagged for this cluster — the accounting-identity spine is well covered; deeper empirical BOP-crisis material sits under #currency_crisis_dynamics instead.</t>
        </is>
      </c>
    </row>
    <row r="11" ht="34.05" customHeight="1">
      <c r="A11" s="3" t="inlineStr">
        <is>
          <t>Exchange Rate</t>
        </is>
      </c>
      <c r="B11" s="3" t="inlineStr">
        <is>
          <t>Literature</t>
        </is>
      </c>
      <c r="C11" s="3" t="inlineStr">
        <is>
          <t>#policy_transmission</t>
        </is>
      </c>
      <c r="D11" s="3" t="inlineStr">
        <is>
          <t>monetary &amp; fiscal policy under different regimes, and its politics</t>
        </is>
      </c>
      <c r="E11" s="3" t="n"/>
    </row>
    <row r="12" ht="19.05" customHeight="1">
      <c r="A12" s="3" t="inlineStr">
        <is>
          <t>Exchange Rate</t>
        </is>
      </c>
      <c r="B12" s="3" t="inlineStr">
        <is>
          <t>Literature</t>
        </is>
      </c>
      <c r="C12" s="3" t="inlineStr">
        <is>
          <t>#applied_valuation_tools</t>
        </is>
      </c>
      <c r="D12" s="3" t="inlineStr">
        <is>
          <t>estimating the "equilibrium" exchange rate</t>
        </is>
      </c>
      <c r="E12" s="3" t="n"/>
    </row>
    <row r="13" ht="19.05" customHeight="1">
      <c r="A13" s="3" t="inlineStr">
        <is>
          <t>Exchange Rate</t>
        </is>
      </c>
      <c r="B13" s="3" t="inlineStr">
        <is>
          <t>Literature</t>
        </is>
      </c>
      <c r="C13" s="3" t="inlineStr">
        <is>
          <t>#capital_controls</t>
        </is>
      </c>
      <c r="D13" s="3" t="inlineStr">
        <is>
          <t>restrictions on capital flows as a policy tool</t>
        </is>
      </c>
      <c r="E13" s="3" t="n"/>
    </row>
    <row r="14" ht="19.05" customHeight="1">
      <c r="A14" s="3" t="inlineStr">
        <is>
          <t>Exchange Rate</t>
        </is>
      </c>
      <c r="B14" s="3" t="inlineStr">
        <is>
          <t>Literature</t>
        </is>
      </c>
      <c r="C14" s="3" t="inlineStr">
        <is>
          <t>#currency_crisis_dynamics</t>
        </is>
      </c>
      <c r="D14" s="3" t="inlineStr">
        <is>
          <t>how currency crises build and break</t>
        </is>
      </c>
      <c r="E14" s="3" t="n"/>
    </row>
    <row r="15" ht="64.05" customHeight="1">
      <c r="A15" s="3" t="inlineStr">
        <is>
          <t>Exchange Rate</t>
        </is>
      </c>
      <c r="B15" s="3" t="inlineStr">
        <is>
          <t>Literature</t>
        </is>
      </c>
      <c r="C15" s="3" t="inlineStr">
        <is>
          <t>#practitioner_mental_models</t>
        </is>
      </c>
      <c r="D15" s="3" t="inlineStr">
        <is>
          <t>how specific macro funds actually reason about BRL/USD</t>
        </is>
      </c>
      <c r="E15" s="3" t="inlineStr">
        <is>
          <t>Distinct in kind from clusters 1–8, not just in number. These are internally-authored syntheses of how specific macro funds actually reason about BRL/USD and the global dollar cycle, extracted from their own letters/notes rather than from published academic or institutional literature — a practitioner-reasoning cluster sitting alongside, not graded on the same foundational-score scale as, the literature above (hence the different table columns below).</t>
        </is>
      </c>
    </row>
    <row r="16" ht="34.05" customHeight="1">
      <c r="A16" s="3" t="inlineStr">
        <is>
          <t>Exchange Rate</t>
        </is>
      </c>
      <c r="B16" s="3" t="inlineStr">
        <is>
          <t>Literature</t>
        </is>
      </c>
      <c r="C16" s="3" t="inlineStr">
        <is>
          <t>(whole area)</t>
        </is>
      </c>
      <c r="D16" s="3" t="inlineStr">
        <is>
          <t>3. Optimal Currency Area (OCA) theory — absent entirely — PARTIALLY RESOLVED 2026-07</t>
        </is>
      </c>
      <c r="E16" s="3" t="inlineStr">
        <is>
          <t>Only Mundell's 1963 capital-mobility paper was in the base; his more famous 1961 OCA paper was missing, along with the other two "classic" OCA criteria papers.</t>
        </is>
      </c>
    </row>
    <row r="17" ht="34.05" customHeight="1">
      <c r="A17" s="3" t="inlineStr">
        <is>
          <t>Exchange Rate</t>
        </is>
      </c>
      <c r="B17" s="3" t="inlineStr">
        <is>
          <t>Literature</t>
        </is>
      </c>
      <c r="C17" s="3" t="inlineStr">
        <is>
          <t>(whole area)</t>
        </is>
      </c>
      <c r="D17" s="3" t="inlineStr">
        <is>
          <t>4. FX options and volatility — absent entirely</t>
        </is>
      </c>
      <c r="E17" s="3" t="inlineStr">
        <is>
          <t>Forwards, swaps, and futures are covered (via CFA L1 and the BIS Triennial Survey figures); options pricing and volatility-based positioning indicators are not.</t>
        </is>
      </c>
    </row>
    <row r="18" ht="34.05" customHeight="1">
      <c r="A18" s="3" t="inlineStr">
        <is>
          <t>Exchange Rate</t>
        </is>
      </c>
      <c r="B18" s="3" t="inlineStr">
        <is>
          <t>Literature</t>
        </is>
      </c>
      <c r="C18" s="3" t="inlineStr">
        <is>
          <t>(whole area)</t>
        </is>
      </c>
      <c r="D18" s="3" t="inlineStr">
        <is>
          <t>6. Non-Brazil EM depth (RMB internationalization, "original sin") — almost entirely absent</t>
        </is>
      </c>
      <c r="E18" s="3" t="inlineStr">
        <is>
          <t>Every EM-specific source in the base is Brazil-focused. No equivalent depth for China/RMB or the broader EM local-currency-debt literature.</t>
        </is>
      </c>
    </row>
    <row r="19" ht="109.05" customHeight="1">
      <c r="A19" s="3" t="inlineStr">
        <is>
          <t>Exchange Rate</t>
        </is>
      </c>
      <c r="B19" s="3" t="inlineStr">
        <is>
          <t>Literature</t>
        </is>
      </c>
      <c r="C19" s="3" t="inlineStr">
        <is>
          <t>(whole area)</t>
        </is>
      </c>
      <c r="D19" s="3" t="inlineStr">
        <is>
          <t>Suggested acquisition order</t>
        </is>
      </c>
      <c r="E19" s="3" t="inlineStr">
        <is>
          <t>1. Chamon &amp; Garcia (2016) (Section 2, Brazil angle) — a natural, low-effort next step given the base's Brazil mandate and the fact that the general capital-controls framework is now in place; this would be the direct empirical application to Brazil's own 2008-2012 IOF episode.
2. Garman &amp; Kohlhagen (1983) (Section 4) — closes the one theory area (FX options/volatility) with no representation at all in the base.
Everything else can follow based on what LIS's near-term research agenda actually needs (e.g., the remaining OCA companions only matter if EMU/monetary-union analysis is on the roadmap; RMB depth only matters if non-Brazil EM work is planned).</t>
        </is>
      </c>
    </row>
    <row r="20" ht="49.05" customHeight="1">
      <c r="A20" s="3" t="inlineStr">
        <is>
          <t>Monetary Policy</t>
        </is>
      </c>
      <c r="B20" s="3" t="inlineStr">
        <is>
          <t>Literature</t>
        </is>
      </c>
      <c r="C20" s="3" t="inlineStr">
        <is>
          <t>(whole area)</t>
        </is>
      </c>
      <c r="D20" s="3" t="inlineStr">
        <is>
          <t>Scope</t>
        </is>
      </c>
      <c r="E20" s="3" t="inlineStr">
        <is>
          <t>Scope: technical literature only (papers, handbook chapters, selected textbook chapters). The Copom's own documents (comunicados, atas, RPM) are a separate track — §8 of the candidates file — already in obsidian/monetary_policy/clean_md/central_bank/, refreshed by the Copom ETL, and not listed here.</t>
        </is>
      </c>
    </row>
    <row r="21" ht="79.05" customHeight="1">
      <c r="A21" s="3" t="inlineStr">
        <is>
          <t>Monetary Policy</t>
        </is>
      </c>
      <c r="B21" s="3" t="inlineStr">
        <is>
          <t>Literature</t>
        </is>
      </c>
      <c r="C21" s="3" t="inlineStr">
        <is>
          <t>(whole area)</t>
        </is>
      </c>
      <c r="D21" s="3" t="inlineStr">
        <is>
          <t>What the agent has to answer, and which clusters answer it</t>
        </is>
      </c>
      <c r="E21" s="3" t="inlineStr">
        <is>
          <t>The review that produced clusters 9-13 started from the agent's job rather than from the field's table of contents. The memo horizons are the next meeting, year-end, 1 year and 2-3 years (SISTEMA_AGENTES.md I.III), and the exchange-rate map already asks the agent for four outputs:
Clusters 1-3 and 5 are the theoretical floor under all of these. Before 2026-10-07 the base was strong there and thin on every row of the table above; the Brazil cluster stopped in 2006.</t>
        </is>
      </c>
    </row>
    <row r="22" ht="34.05" customHeight="1">
      <c r="A22" s="3" t="inlineStr">
        <is>
          <t>Monetary Policy</t>
        </is>
      </c>
      <c r="B22" s="3" t="inlineStr">
        <is>
          <t>Literature</t>
        </is>
      </c>
      <c r="C22" s="3" t="inlineStr">
        <is>
          <t>(whole area)</t>
        </is>
      </c>
      <c r="D22" s="3" t="inlineStr">
        <is>
          <t>Primary legal sources (institutional framework)</t>
        </is>
      </c>
      <c r="E22" s="3" t="inlineStr">
        <is>
          <t>Not literature, and therefore outside the clusters, but they define the target the reaction function responds to. Same treatment as the legal sources in the fiscal bibliography.</t>
        </is>
      </c>
    </row>
    <row r="23" ht="94.05" customHeight="1">
      <c r="A23" s="3" t="inlineStr">
        <is>
          <t>Monetary Policy</t>
        </is>
      </c>
      <c r="B23" s="3" t="inlineStr">
        <is>
          <t>Literature</t>
        </is>
      </c>
      <c r="C23" s="3" t="inlineStr">
        <is>
          <t>(whole area)</t>
        </is>
      </c>
      <c r="D23" s="3" t="inlineStr">
        <is>
          <t>Deliberately out of this list</t>
        </is>
      </c>
      <c r="E23" s="3" t="inlineStr">
        <is>
          <t>- Woodford (2003) Interest and Prices, Cukierman (1992) and Bernanke, Laubach, Mishkin &amp; Posen (1999) — the three books the candidates file used to carry. Their content for this agent is already covered: Woodford by Galí and Clarida-Galí-Gertler, Cukierman by Rogoff, Walsh and Barro-Gordon, Bernanke et al. by Svensson, Mishkin and the Brazil papers. Dropped 2026-10-07.
- Phillips curve, expectation formation, fiscal theory of the price level, output-gap filters — owned by the inflation, fiscal and activity bibliographies. Expectations are not this agent's (SISTEMA_AGENTES.md I.III.xii); duplicating them here would blur the agents. &lt;/content&gt;</t>
        </is>
      </c>
    </row>
    <row r="24" ht="34.05" customHeight="1">
      <c r="A24" s="3" t="inlineStr">
        <is>
          <t>Monetary Policy</t>
        </is>
      </c>
      <c r="B24" s="3" t="inlineStr">
        <is>
          <t>Literature</t>
        </is>
      </c>
      <c r="C24" s="3" t="inlineStr">
        <is>
          <t>#policy_rules_and_credibility</t>
        </is>
      </c>
      <c r="D24" s="3" t="inlineStr">
        <is>
          <t>rules vs. discretion, time inconsistency, institutional design</t>
        </is>
      </c>
      <c r="E24" s="3" t="n"/>
    </row>
    <row r="25" ht="19.05" customHeight="1">
      <c r="A25" s="3" t="inlineStr">
        <is>
          <t>Monetary Policy</t>
        </is>
      </c>
      <c r="B25" s="3" t="inlineStr">
        <is>
          <t>Literature</t>
        </is>
      </c>
      <c r="C25" s="3" t="inlineStr">
        <is>
          <t>#new_keynesian_transmission</t>
        </is>
      </c>
      <c r="D25" s="3" t="inlineStr">
        <is>
          <t>the modern theoretical backbone</t>
        </is>
      </c>
      <c r="E25" s="3" t="n"/>
    </row>
    <row r="26" ht="34.05" customHeight="1">
      <c r="A26" s="3" t="inlineStr">
        <is>
          <t>Monetary Policy</t>
        </is>
      </c>
      <c r="B26" s="3" t="inlineStr">
        <is>
          <t>Literature</t>
        </is>
      </c>
      <c r="C26" s="3" t="inlineStr">
        <is>
          <t>#transmission_channels_financial_frictions</t>
        </is>
      </c>
      <c r="D26" s="3" t="n"/>
      <c r="E26" s="3" t="inlineStr">
        <is>
          <t>Answers: How, and how fast, does the Selic reach activity and inflation in Brazil?</t>
        </is>
      </c>
    </row>
    <row r="27" ht="19.05" customHeight="1">
      <c r="A27" s="3" t="inlineStr">
        <is>
          <t>Monetary Policy</t>
        </is>
      </c>
      <c r="B27" s="3" t="inlineStr">
        <is>
          <t>Literature</t>
        </is>
      </c>
      <c r="C27" s="3" t="inlineStr">
        <is>
          <t>#unconventional_policy_zlb</t>
        </is>
      </c>
      <c r="D27" s="3" t="n"/>
      <c r="E27" s="3" t="inlineStr">
        <is>
          <t>Lowest processing priority of the base: Brazil came near the floor only in 2020.</t>
        </is>
      </c>
    </row>
    <row r="28" ht="19.05" customHeight="1">
      <c r="A28" s="3" t="inlineStr">
        <is>
          <t>Monetary Policy</t>
        </is>
      </c>
      <c r="B28" s="3" t="inlineStr">
        <is>
          <t>Literature</t>
        </is>
      </c>
      <c r="C28" s="3" t="inlineStr">
        <is>
          <t>#global_spillovers_em_autonomy</t>
        </is>
      </c>
      <c r="D28" s="3" t="n"/>
      <c r="E28" s="3" t="inlineStr">
        <is>
          <t>Answers: S4 — reaction function to a depreciation, and with which instrument</t>
        </is>
      </c>
    </row>
    <row r="29" ht="124.05" customHeight="1">
      <c r="A29" s="3" t="inlineStr">
        <is>
          <t>Monetary Policy</t>
        </is>
      </c>
      <c r="B29" s="3" t="inlineStr">
        <is>
          <t>Literature</t>
        </is>
      </c>
      <c r="C29" s="3" t="inlineStr">
        <is>
          <t>#brazil_monetary_policy</t>
        </is>
      </c>
      <c r="D29" s="3" t="n"/>
      <c r="E29" s="3" t="inlineStr">
        <is>
          <t>Answers: How, and how fast, does the Selic reach activity and inflation in Brazil?
Answers: How restrictive is the Selic today?
Answers: S2 — is a hike read as credibility or as validation of higher inflation?
The 2006 cutoff is partly closed. The open gap this cluster carried — nothing after 2006 — is now covered on transmission (Minella &amp; Souza-Sobrinho 2013, Bonomo &amp; Martins 2016), the FX reaction (Kohlscheen 2014) and the BCB's model (SAMBA). Still uncovered by technical literature: the 2015-16 recession and the 2021-23 cycle. For those, the Copom's own documents (§8) and the technical boxes of the RPM — which come with the full RPM history, SISTEMA_AGENTES.md II.III.iv — are the primary source, not a paper still to be found.</t>
        </is>
      </c>
    </row>
    <row r="30" ht="34.05" customHeight="1">
      <c r="A30" s="3" t="inlineStr">
        <is>
          <t>Monetary Policy</t>
        </is>
      </c>
      <c r="B30" s="3" t="inlineStr">
        <is>
          <t>Literature</t>
        </is>
      </c>
      <c r="C30" s="3" t="inlineStr">
        <is>
          <t>#reaction_function_and_gradualism</t>
        </is>
      </c>
      <c r="D30" s="3" t="inlineStr">
        <is>
          <t>estimating what the central bank responds to, and how fast</t>
        </is>
      </c>
      <c r="E30" s="3" t="inlineStr">
        <is>
          <t>Answers: S4 — reaction function to a depreciation, and with which instrument
Answers: S1 — expected Selic path and balance of risks; how far it sits from the curve and from the Focus</t>
        </is>
      </c>
    </row>
    <row r="31" ht="34.05" customHeight="1">
      <c r="A31" s="3" t="inlineStr">
        <is>
          <t>Monetary Policy</t>
        </is>
      </c>
      <c r="B31" s="3" t="inlineStr">
        <is>
          <t>Literature</t>
        </is>
      </c>
      <c r="C31" s="3" t="inlineStr">
        <is>
          <t>#policy_surprises_and_information_effect</t>
        </is>
      </c>
      <c r="D31" s="3" t="inlineStr">
        <is>
          <t>what a decision tells the market</t>
        </is>
      </c>
      <c r="E31" s="3" t="inlineStr">
        <is>
          <t>Answers: S2 — is a hike read as credibility or as validation of higher inflation?</t>
        </is>
      </c>
    </row>
    <row r="32" ht="19.05" customHeight="1">
      <c r="A32" s="3" t="inlineStr">
        <is>
          <t>Monetary Policy</t>
        </is>
      </c>
      <c r="B32" s="3" t="inlineStr">
        <is>
          <t>Literature</t>
        </is>
      </c>
      <c r="C32" s="3" t="inlineStr">
        <is>
          <t>#communication_and_forward_guidance</t>
        </is>
      </c>
      <c r="D32" s="3" t="n"/>
      <c r="E32" s="3" t="inlineStr">
        <is>
          <t>Answers: S3 — how the Copom described the exchange rate</t>
        </is>
      </c>
    </row>
    <row r="33" ht="34.05" customHeight="1">
      <c r="A33" s="3" t="inlineStr">
        <is>
          <t>Monetary Policy</t>
        </is>
      </c>
      <c r="B33" s="3" t="inlineStr">
        <is>
          <t>Literature</t>
        </is>
      </c>
      <c r="C33" s="3" t="inlineStr">
        <is>
          <t>#neutral_rate</t>
        </is>
      </c>
      <c r="D33" s="3" t="inlineStr">
        <is>
          <t>how restrictive is the policy rate?</t>
        </is>
      </c>
      <c r="E33" s="3" t="inlineStr">
        <is>
          <t>Answers: How restrictive is the Selic today?
Answers: S1 — expected Selic path and balance of risks; how far it sits from the curve and from the Focus</t>
        </is>
      </c>
    </row>
    <row r="34" ht="19.05" customHeight="1">
      <c r="A34" s="3" t="inlineStr">
        <is>
          <t>Monetary Policy</t>
        </is>
      </c>
      <c r="B34" s="3" t="inlineStr">
        <is>
          <t>Literature</t>
        </is>
      </c>
      <c r="C34" s="3" t="inlineStr">
        <is>
          <t>#term_structure_and_market_pricing</t>
        </is>
      </c>
      <c r="D34" s="3" t="inlineStr">
        <is>
          <t>separating the expected path from the premium</t>
        </is>
      </c>
      <c r="E34" s="3" t="inlineStr">
        <is>
          <t>Answers: S1 — expected Selic path and balance of risks; how far it sits from the curve and from the Focus</t>
        </is>
      </c>
    </row>
    <row r="35" ht="64.05" customHeight="1">
      <c r="A35" s="3" t="inlineStr">
        <is>
          <t>Monetary Policy</t>
        </is>
      </c>
      <c r="B35" s="3" t="inlineStr">
        <is>
          <t>Literature</t>
        </is>
      </c>
      <c r="C35" s="3" t="inlineStr">
        <is>
          <t>(whole area)</t>
        </is>
      </c>
      <c r="D35" s="3" t="inlineStr">
        <is>
          <t>Acquisition note</t>
        </is>
      </c>
      <c r="E35" s="3" t="inlineStr">
        <is>
          <t>The IMF blocks automated download. imf.org returns 403 to scripted requests (Akamai), for both the /external/pubs/ft/wp/ and the /-/media/ paths, from curl and from PowerShell alike (tested 2026-10-07). The papers themselves are free — open the link in a browser, save the PDF into repository/monetary_policy/raw_pdf/ with the suggested filename, and run /ingest monetary_policy. Third-party mirrors were not used.</t>
        </is>
      </c>
    </row>
    <row r="36" ht="79.05" customHeight="1">
      <c r="A36" s="3" t="inlineStr">
        <is>
          <t>Monetary Policy</t>
        </is>
      </c>
      <c r="B36" s="3" t="inlineStr">
        <is>
          <t>Literature</t>
        </is>
      </c>
      <c r="C36" s="3" t="inlineStr">
        <is>
          <t>#brazil_policy_communication</t>
        </is>
      </c>
      <c r="D36" s="3" t="inlineStr">
        <is>
          <t>Copom primary sources</t>
        </is>
      </c>
      <c r="E36" s="3" t="inlineStr">
        <is>
          <t>A recurring institutional feed, not settled literature; no foundational score. The two decisions this section used to defer are taken: retention is the full history for comunicados (234) and atas (261), and the RPM for the last three years in full (12, Dec/2023 on); ingestion is the Copom ETL (pm_copom_projecoes.run(), code in domain/db/brasil/bcb/_copom_texto.py and _rpm_projecoes.py), writing straight into obsidian/monetary_policy/clean_md/central_bank/. Still pending: the full RPM history (SISTEMA_AGENTES.md II.III.iv).</t>
        </is>
      </c>
    </row>
    <row r="37" ht="274.05" customHeight="1">
      <c r="A37" s="3" t="inlineStr">
        <is>
          <t>Economic Activity</t>
        </is>
      </c>
      <c r="B37" s="3" t="inlineStr">
        <is>
          <t>Literature</t>
        </is>
      </c>
      <c r="C37" s="3" t="inlineStr">
        <is>
          <t>(whole area)</t>
        </is>
      </c>
      <c r="D37" s="3" t="inlineStr">
        <is>
          <t>Scope</t>
        </is>
      </c>
      <c r="E37" s="3" t="inlineStr">
        <is>
          <t>Scope — deliberately excludes labor market theory. The user is considering splitting labor market into its own future agent, separate from economic activity. This file covers the business cycle and growth side only: what drives aggregate output up and down over the short run (business cycle theory), what drives it higher over the long run (growth theory), how "how much slack is there" gets measured (output gap/potential output), and how Brazil's own activity is tracked and dated. It deliberately does not cover search/matching models, the Beveridge curve, or NAIRU estimation — those stay reserved for the future labor market agent, even though output gap and NAIRU are close conceptual cousins.
Scope boundary with the Qual - Monetary Policy tab: monetary policy's #new_keynesian_transmission and #transmission_channels_financial_frictions clusters already own the monetary transmission mechanism (Calvo pricing, the credit channel, the financial accelerator) — this file covers business cycles from the real/output side (RBC theory, growth theory) rather than how monetary policy transmits into them. Cluster 2 below (#modern_dsge_business_cycles) is the one place the two files sit closest together — Smets &amp; Wouters (2007) and the CEE (2005) model are joint output-inflation-policy frameworks — included here because the lens is business-cycle propagation, not the policy-rule side already covered in monetary policy's bibliography.
Scope boundary with the Qual - Inflation tab: Phillips curve theory and estimation (the use of the output gap as a slack measure) stays in the inflation file's cluster 1 — this file owns the theory and measurement of the output gap itself, which the inflation and monetary policy agents both already list as a Tier 2 dependency they need from a future activity agent.
Scope boundary with exchange_rate_policy/ and inflation's cost-push cluster: commodity-price pass-through to consumer prices stays with inflation (cluster 3); this file's commodity cluster (8) covers the structural growth/Dutch-disease channel — how a commodity cycle reshapes potential output and industrial competitiveness — not the price-transmission channel.</t>
        </is>
      </c>
    </row>
    <row r="38" ht="274.05" customHeight="1">
      <c r="A38" s="3" t="inlineStr">
        <is>
          <t>Economic Activity</t>
        </is>
      </c>
      <c r="B38" s="3" t="inlineStr">
        <is>
          <t>Literature</t>
        </is>
      </c>
      <c r="C38" s="3" t="inlineStr">
        <is>
          <t>(whole area)</t>
        </is>
      </c>
      <c r="D38" s="3" t="inlineStr">
        <is>
          <t>Suggested acquisition order</t>
        </is>
      </c>
      <c r="E38" s="3" t="inlineStr">
        <is>
          <t>1. Okun (1962) and Cusinato, Minella &amp; Pôrto Júnior (2010) — cheapest high-value pair: one closes the conceptual foundation for "output gap," the other is the single most load-bearing Brazil-specific reference, directly answering a gap already flagged in the monetary policy data inventory.
2. Solow (1956) and Kydland &amp; Prescott (1982) — the two single most-cited papers in this entire bibliography; nothing else here makes full sense without these two frameworks (long-run growth, short-run real cycles) as background.
3. Banco Central do Brasil (2010, 2016, 2018) IBC-Br boxes — read together as a set; they're short, and the methodology only makes sense read as a sequence (launch → revision → comparison-to-GDP).
4. Corden &amp; Neary (1982) — closes the Dutch disease gap cheaply; short, frequently invoked in Brazilian industrial-policy commentary, worth having early.
5. Solow (1957), Banco Central do Brasil (2018), Estudo Especial nº 27, and Veloso, Matos &amp; Peruchetti (2020a/b) — the full productivity set; read the growth-accounting theory first, then BCB's labor-productivity-only application, then FGV/IBRE's fuller aggregate-TFP series, so the progression from theory → partial Brazilian application → complete Brazilian application is visible.
6. Duarte, Issler &amp; Spacov (2004) — read alongside Burns &amp; Mitchell and Stock &amp; Watson (cluster 1/6) once those are acquired, since it's the direct Brazilian application of both.
7. Everything else, roughly in cluster order — the Barro &amp; Sala-i-Martin (2004) textbook chapters, the IBGE national accounts methodology note, and the two 2019-2020 BCB Estudos Especiais (uncertainty, financial conditions) are lower urgency, useful thickening rather than foundational.</t>
        </is>
      </c>
    </row>
    <row r="39" ht="34.05" customHeight="1">
      <c r="A39" s="3" t="inlineStr">
        <is>
          <t>Economic Activity</t>
        </is>
      </c>
      <c r="B39" s="3" t="inlineStr">
        <is>
          <t>Literature</t>
        </is>
      </c>
      <c r="C39" s="3" t="inlineStr">
        <is>
          <t>#business_cycle_theory_foundations</t>
        </is>
      </c>
      <c r="D39" s="3" t="inlineStr">
        <is>
          <t>the impulse-propagation framework and its two founding schools</t>
        </is>
      </c>
      <c r="E39" s="3" t="n"/>
    </row>
    <row r="40" ht="34.05" customHeight="1">
      <c r="A40" s="3" t="inlineStr">
        <is>
          <t>Economic Activity</t>
        </is>
      </c>
      <c r="B40" s="3" t="inlineStr">
        <is>
          <t>Literature</t>
        </is>
      </c>
      <c r="C40" s="3" t="inlineStr">
        <is>
          <t>#modern_dsge_business_cycles</t>
        </is>
      </c>
      <c r="D40" s="3" t="inlineStr">
        <is>
          <t>the medium-scale estimated models central banks actually run</t>
        </is>
      </c>
      <c r="E40" s="3" t="n"/>
    </row>
    <row r="41" ht="34.05" customHeight="1">
      <c r="A41" s="3" t="inlineStr">
        <is>
          <t>Economic Activity</t>
        </is>
      </c>
      <c r="B41" s="3" t="inlineStr">
        <is>
          <t>Literature</t>
        </is>
      </c>
      <c r="C41" s="3" t="inlineStr">
        <is>
          <t>#growth_theory_neoclassical_and_endogenous</t>
        </is>
      </c>
      <c r="D41" s="3" t="inlineStr">
        <is>
          <t>what drives output higher over the long run</t>
        </is>
      </c>
      <c r="E41" s="3" t="n"/>
    </row>
    <row r="42" ht="34.05" customHeight="1">
      <c r="A42" s="3" t="inlineStr">
        <is>
          <t>Economic Activity</t>
        </is>
      </c>
      <c r="B42" s="3" t="inlineStr">
        <is>
          <t>Literature</t>
        </is>
      </c>
      <c r="C42" s="3" t="inlineStr">
        <is>
          <t>#convergence_middle_income_trap_and_em_growth</t>
        </is>
      </c>
      <c r="D42" s="3" t="inlineStr">
        <is>
          <t>does growth converge, and why Brazil's own growth has repeatedly stalled</t>
        </is>
      </c>
      <c r="E42" s="3" t="n"/>
    </row>
    <row r="43" ht="34.05" customHeight="1">
      <c r="A43" s="3" t="inlineStr">
        <is>
          <t>Economic Activity</t>
        </is>
      </c>
      <c r="B43" s="3" t="inlineStr">
        <is>
          <t>Literature</t>
        </is>
      </c>
      <c r="C43" s="3" t="inlineStr">
        <is>
          <t>#output_gap_and_potential_output_measurement</t>
        </is>
      </c>
      <c r="D43" s="3" t="inlineStr">
        <is>
          <t>how "how much slack is there" actually gets estimated</t>
        </is>
      </c>
      <c r="E43" s="3" t="n"/>
    </row>
    <row r="44" ht="79.05" customHeight="1">
      <c r="A44" s="3" t="inlineStr">
        <is>
          <t>Economic Activity</t>
        </is>
      </c>
      <c r="B44" s="3" t="inlineStr">
        <is>
          <t>Literature</t>
        </is>
      </c>
      <c r="C44" s="3" t="inlineStr">
        <is>
          <t>#business_cycle_dating_and_coincident_indicators</t>
        </is>
      </c>
      <c r="D44" s="3" t="inlineStr">
        <is>
          <t>turning many series into one cycle signal, and dating its turning points</t>
        </is>
      </c>
      <c r="E44" s="3" t="inlineStr">
        <is>
          <t>Ongoing primary source, not a single paper: Comitê de Datação de Ciclos Econômicos (CODACE), maintained by FGV/IBRE — Brazil's own NBER-style business cycle dating committee, publishing recession/expansion turning-point calls and methodology notes on an ongoing basis rather than a fixed calendar (unlike COPOM's ~8/year cadence in the monetary policy bibliography's §8). Retention window and ingestion approach not yet decided — flagged here rather than left undocumented, following the precedent set for COPOM materials.</t>
        </is>
      </c>
    </row>
    <row r="45" ht="19.05" customHeight="1">
      <c r="A45" s="3" t="inlineStr">
        <is>
          <t>Economic Activity</t>
        </is>
      </c>
      <c r="B45" s="3" t="inlineStr">
        <is>
          <t>Literature</t>
        </is>
      </c>
      <c r="C45" s="3" t="inlineStr">
        <is>
          <t>#brazil_activity_measurement</t>
        </is>
      </c>
      <c r="D45" s="3" t="inlineStr">
        <is>
          <t>IBC-Br and the national accounts it approximates</t>
        </is>
      </c>
      <c r="E45" s="3" t="n"/>
    </row>
    <row r="46" ht="34.05" customHeight="1">
      <c r="A46" s="3" t="inlineStr">
        <is>
          <t>Economic Activity</t>
        </is>
      </c>
      <c r="B46" s="3" t="inlineStr">
        <is>
          <t>Literature</t>
        </is>
      </c>
      <c r="C46" s="3" t="inlineStr">
        <is>
          <t>#commodity_cycles_dutch_disease_and_growth</t>
        </is>
      </c>
      <c r="D46" s="3" t="inlineStr">
        <is>
          <t>the structural growth channel of Brazil's commodity exposure</t>
        </is>
      </c>
      <c r="E46" s="3" t="inlineStr">
        <is>
          <t>Scope note: covers the growth/industrial-structure channel only — commodity price pass-through into consumer prices is inflation's territory (cluster 3 there); this cluster is about how a commodity cycle reshapes potential output and competitiveness.</t>
        </is>
      </c>
    </row>
    <row r="47" ht="169.05" customHeight="1">
      <c r="A47" s="3" t="inlineStr">
        <is>
          <t>Economic Activity</t>
        </is>
      </c>
      <c r="B47" s="3" t="inlineStr">
        <is>
          <t>Literature</t>
        </is>
      </c>
      <c r="C47" s="3" t="inlineStr">
        <is>
          <t>#brazil_productivity_and_potential_growth</t>
        </is>
      </c>
      <c r="D47" s="3" t="inlineStr">
        <is>
          <t>measuring productivity itself, not just the output gap it feeds into</t>
        </is>
      </c>
      <c r="E47" s="3" t="inlineStr">
        <is>
          <t>Distinct from cluster 5: cluster 5 covers output gap measurement (actual output vs. potential, cyclical); this cluster covers productivity directly — the growth-accounting decomposition of potential output itself into capital, labor, and the residual (total factor productivity), which is the slower-moving trend cluster 5's methods are trying to extract in the first place.
Ongoing primary source, not a single paper: the Observatório da Produtividade Regis Bonelli (ibre.fgv.br/observatorio-produtividade), FGV/IBRE's dedicated productivity-tracking portal — publishes the annual TFP and labor-productivity series above on an ongoing basis, plus further reports/notes (e.g. Veloso, Matos &amp; Peruchetti's companion piece specifically on labor productivity as the long-run growth engine). Treat similarly to CODACE in cluster 6: an ongoing feed to monitor, not a one-time acquisition.
Noted but not yet verified: both 2020 notes above cite an earlier survey, Veloso et al. (2013), reviewing the several competing Brazilian TFP estimates that predated this IBRE series — worth tracking down and adding if a fuller historical/comparative view of Brazilian TFP methodologies is wanted, but exact venue/co-authors weren't confirmed in this pass.</t>
        </is>
      </c>
    </row>
    <row r="48" ht="94.05" customHeight="1">
      <c r="A48" s="3" t="inlineStr">
        <is>
          <t>Fiscal Policy</t>
        </is>
      </c>
      <c r="B48" s="3" t="inlineStr">
        <is>
          <t>Literature</t>
        </is>
      </c>
      <c r="C48" s="3" t="inlineStr">
        <is>
          <t>(whole area)</t>
        </is>
      </c>
      <c r="D48" s="3" t="inlineStr">
        <is>
          <t>Scope</t>
        </is>
      </c>
      <c r="E48" s="3" t="inlineStr">
        <is>
          <t>Scope — deliberately does not re-acquire fiscal-monetary interaction theory already covered elsewhere. Two other files already own significant fiscal-adjacent ground:
Scope boundary with the Qual - Economic Activity tab: fiscal multipliers (cluster 2) are the one place this file and business-cycle theory sit closest together — multiplier size is state-dependent on the output gap (Auerbach &amp; Gorodnichenko 2012) — but this file owns the fiscal-shock-identification side, while economic activity owns the output-gap measurement the multiplier size depends on.</t>
        </is>
      </c>
    </row>
    <row r="49" ht="229.05" customHeight="1">
      <c r="A49" s="3" t="inlineStr">
        <is>
          <t>Fiscal Policy</t>
        </is>
      </c>
      <c r="B49" s="3" t="inlineStr">
        <is>
          <t>Literature</t>
        </is>
      </c>
      <c r="C49" s="3" t="inlineStr">
        <is>
          <t>(whole area)</t>
        </is>
      </c>
      <c r="D49" s="3" t="inlineStr">
        <is>
          <t>Suggested acquisition order</t>
        </is>
      </c>
      <c r="E49" s="3" t="inlineStr">
        <is>
          <t>1. Domar (1944) and Blanchard (2019) — the debt-sustainability-arithmetic pair; read together since Blanchard's whole argument is a modern re-litigation of exactly the r-vs-g comparison Domar first formalized.
2. Lei Complementar 101/2000 (LRF), EC 95/2016 (Teto de Gastos), and LC 200/2023 (Novo Arcabouço Fiscal) — read as a sequence; Brazil's fiscal-rule history only makes sense read chronologically as one rule replacing the last.
3. Reinhart, Rogoff &amp; Savastano (2003) — cheap, short (relative to a full book), and the single most important corrective to naively applying Blanchard (2019)'s DM-focused r-vs-g comfort to an EM context.
4. Blanchard &amp; Perotti (2002) — closes the fiscal-multiplier methodology gap before either Ramey's survey or Auerbach-Gorodnichenko's state-dependence result will make full sense.
5. Gavin &amp; Perotti (1997) — read alongside Reinhart-Rogoff-Savastano (2003) above; procyclicality and debt intolerance are the two empirical regularities most responsible for why EM/Latin American fiscal policy doesn't behave like the Domar/Blanchard (2019) arithmetic, calibrated against reserve-currency issuers, would predict.
6. Everything else, roughly in cluster order — the Barr &amp; Diamond (2009), Oates (1972)/Rodden (2006), and Klemm (n.d.) book/chapter items are lower urgency, useful depth rather than foundational; the four flagged open gaps (Novo Arcabouço's peer-reviewed assessment, EC 103/2019's ex-post fiscal impact, Brazil's specific 2015-16/subnational crisis narratives, and a cleanly-citable Latin America subnational federalism paper) need a dedicated search pass before anything can be acquired against them.</t>
        </is>
      </c>
    </row>
    <row r="50" ht="34.05" customHeight="1">
      <c r="A50" s="3" t="inlineStr">
        <is>
          <t>Fiscal Policy</t>
        </is>
      </c>
      <c r="B50" s="3" t="inlineStr">
        <is>
          <t>Literature</t>
        </is>
      </c>
      <c r="C50" s="3" t="inlineStr">
        <is>
          <t>#public_debt_sustainability_and_dynamics</t>
        </is>
      </c>
      <c r="D50" s="3" t="inlineStr">
        <is>
          <t>the arithmetic of whether debt is sustainable, and when it stops mattering</t>
        </is>
      </c>
      <c r="E50" s="3" t="n"/>
    </row>
    <row r="51" ht="34.05" customHeight="1">
      <c r="A51" s="3" t="inlineStr">
        <is>
          <t>Fiscal Policy</t>
        </is>
      </c>
      <c r="B51" s="3" t="inlineStr">
        <is>
          <t>Literature</t>
        </is>
      </c>
      <c r="C51" s="3" t="inlineStr">
        <is>
          <t>#fiscal_multipliers</t>
        </is>
      </c>
      <c r="D51" s="3" t="inlineStr">
        <is>
          <t>how much a real of spending or a real of tax cut actually moves output</t>
        </is>
      </c>
      <c r="E51" s="3" t="n"/>
    </row>
    <row r="52" ht="34.05" customHeight="1">
      <c r="A52" s="3" t="inlineStr">
        <is>
          <t>Fiscal Policy</t>
        </is>
      </c>
      <c r="B52" s="3" t="inlineStr">
        <is>
          <t>Literature</t>
        </is>
      </c>
      <c r="C52" s="3" t="inlineStr">
        <is>
          <t>#fiscal_rules_and_institutions</t>
        </is>
      </c>
      <c r="D52" s="3" t="inlineStr">
        <is>
          <t>designing constraints that bind, and Brazil's own attempts</t>
        </is>
      </c>
      <c r="E52" s="3" t="n"/>
    </row>
    <row r="53" ht="109.05" customHeight="1">
      <c r="A53" s="3" t="inlineStr">
        <is>
          <t>Fiscal Policy</t>
        </is>
      </c>
      <c r="B53" s="3" t="inlineStr">
        <is>
          <t>Literature</t>
        </is>
      </c>
      <c r="C53" s="3" t="inlineStr">
        <is>
          <t>#fiscal_capacity_debt_intolerance_and_dominance</t>
        </is>
      </c>
      <c r="D53" s="3" t="inlineStr">
        <is>
          <t>why EM sovereigns hit fiscal limits at debt levels DM sovereigns don't</t>
        </is>
      </c>
      <c r="E53" s="3" t="inlineStr">
        <is>
          <t>Distinct from, not a duplicate of, the FTPL/fiscal-dominance theory already in the Qual - Inflation tab cluster 7 and the applied Brazil pair in the Qual - Monetary Policy tab cluster 7 — this cluster's lens is fiscal capacity itself: why the same debt-to-GDP ratio that's unremarkable for a reserve-currency issuer can trigger a crisis for an emerging market.
Open gap, not yet filled: the historical companion literature on Brazil's own specific debt-intolerance/fiscal-dominance episodes (the 2002 election-driven confidence crisis already covered from the exchange-rate/credibility angle in the Qual - Monetary Policy tab cluster 7's Minella et al. 2003, and the 2015-16 crisis, cluster 7 below) is the applied complement this theoretical paper needs — flagged here rather than duplicated.</t>
        </is>
      </c>
    </row>
    <row r="54" ht="109.05" customHeight="1">
      <c r="A54" s="3" t="inlineStr">
        <is>
          <t>Fiscal Policy</t>
        </is>
      </c>
      <c r="B54" s="3" t="inlineStr">
        <is>
          <t>Literature</t>
        </is>
      </c>
      <c r="C54" s="3" t="inlineStr">
        <is>
          <t>#pension_and_social_security_reform</t>
        </is>
      </c>
      <c r="D54" s="3" t="inlineStr">
        <is>
          <t>the single largest, most persistent fiscal pressure</t>
        </is>
      </c>
      <c r="E54" s="3" t="inlineStr">
        <is>
          <t>Brazil relevance note: pension/social-security spending is the dominant driver of Brazil's structural primary-spending growth, and the minimum wage's role as the pension-benefit indexation floor (already flagged from the labor market side in the Qual - Labor Market tab cluster 6) means this cluster is unusually tightly linked to that agent's own material.
Open gap, not yet filled: a dedicated ex-post economics (not legal-studies) assessment of EC 103/2019's actual realized fiscal savings, several years post-implementation, was not confidently identified in this pass — most search results were law-journal treatments of specific benefit categories rather than aggregate fiscal-impact studies. Flagged for a dedicated search pass, likely at IPEA, BCB, or the Tesouro Nacional's own long-term debt-projection notes.</t>
        </is>
      </c>
    </row>
    <row r="55" ht="64.05" customHeight="1">
      <c r="A55" s="3" t="inlineStr">
        <is>
          <t>Fiscal Policy</t>
        </is>
      </c>
      <c r="B55" s="3" t="inlineStr">
        <is>
          <t>Literature</t>
        </is>
      </c>
      <c r="C55" s="3" t="inlineStr">
        <is>
          <t>#brazil_fiscal_federalism_and_subnational_debt</t>
        </is>
      </c>
      <c r="D55" s="3" t="inlineStr">
        <is>
          <t>where a large share of Brazil's fiscal risk actually sits</t>
        </is>
      </c>
      <c r="E55" s="3" t="inlineStr">
        <is>
          <t>Open gap, not yet filled: a dedicated Brazil-specific account of the 1990s state-debt crises and the LRF's origin as a direct institutional response (rather than the general cross-country treatment Rodden provides), and a dedicated account of Rio de Janeiro's 2016-17 fiscal crisis (RJ's own "regime de recuperação fiscal") specifically — neither was confidently identified with a specific citation in this pass; flagged for a dedicated search.</t>
        </is>
      </c>
    </row>
    <row r="56" ht="154.05" customHeight="1">
      <c r="A56" s="3" t="inlineStr">
        <is>
          <t>Fiscal Policy</t>
        </is>
      </c>
      <c r="B56" s="3" t="inlineStr">
        <is>
          <t>Literature</t>
        </is>
      </c>
      <c r="C56" s="3" t="inlineStr">
        <is>
          <t>#brazil_fiscal_history_and_recent_episodes</t>
        </is>
      </c>
      <c r="D56" s="3" t="inlineStr">
        <is>
          <t>reading the fiscal stance narrative Brazil has actually lived through</t>
        </is>
      </c>
      <c r="E56" s="3" t="inlineStr">
        <is>
          <t>Structurally different from the other clusters, similar to how COPOM communications (monetary policy §8) and CODACE (economic activity §6) are treated: this is a placeholder for primary-source and applied-narrative material documenting specific fiscal episodes, not settled theory — flagged here so the gap is visible rather than silently absent.
Open gaps, none filled yet with a specific citation:
- The 2015-16 fiscal crisis, including the "pedaladas fiscais" (delayed transfers to public banks that were later ruled to constitute disguised fiscal borrowing, central to the 2016 impeachment proceedings) — a defining recent episode with no citation yet identified.
- The COVID-19 fiscal response ("orçamento de guerra," the constitutional war-budget carve-out from the spending cap, and the Auxílio Emergencial cash-transfer program) and its aftermath for the post-2022 fiscal debate that led directly to cluster 3's Novo Arcabouço Fiscal — no specific citation yet identified.</t>
        </is>
      </c>
    </row>
    <row r="57" ht="124.05" customHeight="1">
      <c r="A57" s="3" t="inlineStr">
        <is>
          <t>Fiscal Policy</t>
        </is>
      </c>
      <c r="B57" s="3" t="inlineStr">
        <is>
          <t>Literature</t>
        </is>
      </c>
      <c r="C57" s="3" t="inlineStr">
        <is>
          <t>#latin_america_regional_fiscal_policy</t>
        </is>
      </c>
      <c r="D57" s="3" t="inlineStr">
        <is>
          <t>Brazil as one case within a recurring regional pattern</t>
        </is>
      </c>
      <c r="E57" s="3" t="inlineStr">
        <is>
          <t>Added after the user's request to broaden beyond Brazil specifically to Latin America — mainstream empirical/institutional literature only (NBER, IMF), not the region's separate structuralist/heterodox tradition, consistent with this bibliography's general orientation.
Open gap, not yet filled: a dedicated, cleanly-citable paper on Latin American subnational fiscal federalism specifically (as opposed to Rodden 2006's broader cross-country treatment in cluster 6, which includes but isn't limited to the region) was searched for but not confidently identified — the clearest candidate found (Ter-Minassian, Albino-War &amp; Singh, 2004, "Managing Subnational Borrowing") is an unpublished conference paper without a stable formal citation, so it wasn't added; flagged for a follow-up search if a published version or a cleaner substitute is wanted.</t>
        </is>
      </c>
    </row>
    <row r="58" ht="94.05" customHeight="1">
      <c r="A58" s="3" t="inlineStr">
        <is>
          <t>Inflation</t>
        </is>
      </c>
      <c r="B58" s="3" t="inlineStr">
        <is>
          <t>Literature</t>
        </is>
      </c>
      <c r="C58" s="3" t="inlineStr">
        <is>
          <t>(whole area)</t>
        </is>
      </c>
      <c r="D58" s="3" t="inlineStr">
        <is>
          <t>Scope</t>
        </is>
      </c>
      <c r="E58" s="3" t="inlineStr">
        <is>
          <t>Scope and boundary with the Qual - Monetary Policy tab: the two agents split the same broad territory by lens, not by keyword — inflation targeting as an institutional regime (rules, credibility, central bank design, the NK 3-equation transmission mechanism) stays in monetary policy; this file covers the inflation process itself — what actually drives the price level and its rate of change, how expectations form, how shocks propagate and get measured, and how disinflation has actually happened (or failed to) in Brazil and elsewhere. Where a classic source is genuinely foundational to both (Friedman 1968 was acquired first under monetary policy), it is cross-referenced here rather than re-acquired — see the note under cluster 1.</t>
        </is>
      </c>
    </row>
    <row r="59" ht="229.05" customHeight="1">
      <c r="A59" s="3" t="inlineStr">
        <is>
          <t>Inflation</t>
        </is>
      </c>
      <c r="B59" s="3" t="inlineStr">
        <is>
          <t>Literature</t>
        </is>
      </c>
      <c r="C59" s="3" t="inlineStr">
        <is>
          <t>(whole area)</t>
        </is>
      </c>
      <c r="D59" s="3" t="inlineStr">
        <is>
          <t>Suggested acquisition order</t>
        </is>
      </c>
      <c r="E59" s="3" t="inlineStr">
        <is>
          <t>1. Arida &amp; Resende (1985) and Franco (1995) — the two-paper core of Brazil's original theoretical contribution and its main practical application; nothing else in this bibliography is as distinctively Brazil-specific or as directly load-bearing for explaining the Real Plan to a reader.
2. da Gama Machado (2024) and Bryan &amp; Cecchetti (1994) — closes the measurement-methodology gap with both the general theory and BCB's own current, operative núcleo methodology; read together since the 2024 paper only makes sense against the trimmed-mean logic the 1994 paper establishes.
3. Gali &amp; Gertler (1999) and Coibion &amp; Gorodnichenko (2015), then Alves &amp; Areosa (2005) and da Gama Machado &amp; Portugal (2014) — the international NKPC pair followed immediately by their two Brazilian empirical counterparts, so the general theory is fresh when reading the local estimates.
4. Ball, Leigh &amp; Mishkin (2022) and Bernanke &amp; Blanchard (2023) — most likely to be immediately useful for current LIS analysis given the recency of the episode they cover.
5. Bevilaqua, Mesquita &amp; Minella (2007) and Gaglianone (2017) — the two Brazil-specific expectations-anchoring references, read after cluster 2's international theory (Mankiw &amp; Reis, Sims, Coibion-Gorodnichenko-Kamdar) rather than before it.
6. Everything else, roughly in cluster order — the Ha/Kose/Ohnsorge (2019) book chapters, Figueiredo &amp; Fachada (2002) (now superseded by da Gama Machado 2024 but still useful as a historical baseline), and Areosa (2016) are lower urgency.</t>
        </is>
      </c>
    </row>
    <row r="60" ht="49.05" customHeight="1">
      <c r="A60" s="3" t="inlineStr">
        <is>
          <t>Inflation</t>
        </is>
      </c>
      <c r="B60" s="3" t="inlineStr">
        <is>
          <t>Literature</t>
        </is>
      </c>
      <c r="C60" s="3" t="inlineStr">
        <is>
          <t>#phillips_curve_and_expectations_augmentation</t>
        </is>
      </c>
      <c r="D60" s="3" t="inlineStr">
        <is>
          <t>the core theoretical relationship between slack and inflation</t>
        </is>
      </c>
      <c r="E60" s="3" t="inlineStr">
        <is>
          <t>Cross-reference, not re-acquired: Friedman, M. (1968), "The Role of Monetary Policy," American Economic Review — already acquired under monetary_policy/ (the natural rate hypothesis is this cluster's other founding half alongside Phelps 1967); treat it as shared infrastructure rather than duplicating the PDF.</t>
        </is>
      </c>
    </row>
    <row r="61" ht="34.05" customHeight="1">
      <c r="A61" s="3" t="inlineStr">
        <is>
          <t>Inflation</t>
        </is>
      </c>
      <c r="B61" s="3" t="inlineStr">
        <is>
          <t>Literature</t>
        </is>
      </c>
      <c r="C61" s="3" t="inlineStr">
        <is>
          <t>#inflation_expectations_formation_and_anchoring</t>
        </is>
      </c>
      <c r="D61" s="3" t="inlineStr">
        <is>
          <t>how expectations are actually formed, measured, and (de)anchored</t>
        </is>
      </c>
      <c r="E61" s="3" t="n"/>
    </row>
    <row r="62" ht="49.05" customHeight="1">
      <c r="A62" s="3" t="inlineStr">
        <is>
          <t>Inflation</t>
        </is>
      </c>
      <c r="B62" s="3" t="inlineStr">
        <is>
          <t>Literature</t>
        </is>
      </c>
      <c r="C62" s="3" t="inlineStr">
        <is>
          <t>#cost_push_shocks_and_exchange_rate_pass_through</t>
        </is>
      </c>
      <c r="D62" s="3" t="inlineStr">
        <is>
          <t>supply-side and imported inflation</t>
        </is>
      </c>
      <c r="E62" s="3" t="inlineStr">
        <is>
          <t>Scope note: exchange-rate-driven inflation is covered here strictly from the inflation-transmission side (how much of a depreciation shows up in consumer prices, and how fast); the currency-regime and UIP side of exchange rate economics stays in exchange_rate_policy/.</t>
        </is>
      </c>
    </row>
    <row r="63" ht="64.05" customHeight="1">
      <c r="A63" s="3" t="inlineStr">
        <is>
          <t>Inflation</t>
        </is>
      </c>
      <c r="B63" s="3" t="inlineStr">
        <is>
          <t>Literature</t>
        </is>
      </c>
      <c r="C63" s="3" t="inlineStr">
        <is>
          <t>#brazilian_inertial_inflation_theory</t>
        </is>
      </c>
      <c r="D63" s="3" t="inlineStr">
        <is>
          <t>Brazil's own original contribution to inflation theory</t>
        </is>
      </c>
      <c r="E63" s="3" t="inlineStr">
        <is>
          <t>Why this cluster exists on its own: unlike most of this bibliography, inertial inflation theory was developed by Brazilian economists to explain a phenomenon (chronic indexation-driven inflation with no clear demand or supply trigger) that mainstream imported theory did not handle well — it is one of the few cases where Brazilian applied macro produced genuinely original theory rather than a local application of a foreign model.</t>
        </is>
      </c>
    </row>
    <row r="64" ht="19.05" customHeight="1">
      <c r="A64" s="3" t="inlineStr">
        <is>
          <t>Inflation</t>
        </is>
      </c>
      <c r="B64" s="3" t="inlineStr">
        <is>
          <t>Literature</t>
        </is>
      </c>
      <c r="C64" s="3" t="inlineStr">
        <is>
          <t>#real_plan_disinflation</t>
        </is>
      </c>
      <c r="D64" s="3" t="inlineStr">
        <is>
          <t>Brazil's successful 1994 stabilization</t>
        </is>
      </c>
      <c r="E64" s="3" t="n"/>
    </row>
    <row r="65" ht="34.05" customHeight="1">
      <c r="A65" s="3" t="inlineStr">
        <is>
          <t>Inflation</t>
        </is>
      </c>
      <c r="B65" s="3" t="inlineStr">
        <is>
          <t>Literature</t>
        </is>
      </c>
      <c r="C65" s="3" t="inlineStr">
        <is>
          <t>#inflation_measurement_and_core_measures</t>
        </is>
      </c>
      <c r="D65" s="3" t="inlineStr">
        <is>
          <t>headline vs. core, and how "core" itself is constructed and forecast</t>
        </is>
      </c>
      <c r="E65" s="3" t="n"/>
    </row>
    <row r="66" ht="49.05" customHeight="1">
      <c r="A66" s="3" t="inlineStr">
        <is>
          <t>Inflation</t>
        </is>
      </c>
      <c r="B66" s="3" t="inlineStr">
        <is>
          <t>Literature</t>
        </is>
      </c>
      <c r="C66" s="3" t="inlineStr">
        <is>
          <t>#fiscal_theory_of_the_price_level</t>
        </is>
      </c>
      <c r="D66" s="3" t="inlineStr">
        <is>
          <t>inflation as a fiscal, not only monetary, phenomenon</t>
        </is>
      </c>
      <c r="E66" s="3" t="inlineStr">
        <is>
          <t>Bridges to, but is theoretically distinct from, monetary policy's #brazil_monetary_policy cluster (Blanchard 2004, Favero &amp; Giavazzi 2004 on fiscal dominance) — those are applied Brazil pieces; this cluster is the underlying formal theory of price-level determination under fiscal constraints.</t>
        </is>
      </c>
    </row>
    <row r="67" ht="64.05" customHeight="1">
      <c r="A67" s="3" t="inlineStr">
        <is>
          <t>Inflation</t>
        </is>
      </c>
      <c r="B67" s="3" t="inlineStr">
        <is>
          <t>Literature</t>
        </is>
      </c>
      <c r="C67" s="3" t="inlineStr">
        <is>
          <t>#post_pandemic_inflation_surge</t>
        </is>
      </c>
      <c r="D67" s="3" t="inlineStr">
        <is>
          <t>the 2021-23 global inflation shock and its ongoing reassessment</t>
        </is>
      </c>
      <c r="E67" s="3" t="inlineStr">
        <is>
          <t>Open gap, not yet filled: this cluster is entirely international (US-focused); no source yet specifically decomposes Brazil's 2021-23 inflation surge (which had its own distinctive drivers — the 2021 drought/energy shock, BRL depreciation, and a faster BCB hiking response than most DM peers). No specific citation is proposed since a confident title wasn't identifiable from memory — flag for a dedicated search pass, likely a BCB working paper or an IMF Article IV background note.</t>
        </is>
      </c>
    </row>
    <row r="68" ht="229.05" customHeight="1">
      <c r="A68" s="3" t="inlineStr">
        <is>
          <t>Labor Market</t>
        </is>
      </c>
      <c r="B68" s="3" t="inlineStr">
        <is>
          <t>Literature</t>
        </is>
      </c>
      <c r="C68" s="3" t="inlineStr">
        <is>
          <t>(whole area)</t>
        </is>
      </c>
      <c r="D68" s="3" t="inlineStr">
        <is>
          <t>Scope</t>
        </is>
      </c>
      <c r="E68" s="3" t="inlineStr">
        <is>
          <t>Scope — the split confirmed in the Qual - Economic Activity tab. That file explicitly reserved search/matching models, the Beveridge curve, and NAIRU estimation for this agent, in exchange for keeping business-cycle theory and growth theory on the activity side. This file owns: how unemployment and vacancies coexist and interact (search/matching theory, the Beveridge curve), how wages get set (bargaining, the wage curve, minimum wage), what "full employment" even means (NAIRU/natural rate), and — because it is unusually consequential for Brazil specifically — informality and dual labor markets.
Scope boundary with the Qual - Inflation tab: the Phillips curve itself (the price side of the slack-inflation relationship, its estimation, the missing-inflation/disinflation debates) stays in inflation's cluster 1 — this file owns the labor market mechanics that feed into it (unemployment gap, NAIRU, wage-setting), the same division already established between inflation and economic activity for the output gap. Wage and wage-bill data itself (macro_brasil.mt_pnad) is already documented from the wage-price-spiral angle in inflation_data_inventory.md §6 — this agent would own that table, with inflation as a consumer, mirroring the reciprocal relationship documented between economic activity and monetary policy.
Scope boundary with the Qual - Economic Activity tab: business-cycle theory (RBC, DSGE), growth theory, and output-gap/potential-output measurement all stay there — this file's search/matching and NAIRU clusters are the labor-market-side companion to that file's output-gap cluster (5), not a substitute for it. The "hours worked" component of potential growth (bibliography cluster 9 there) is a Tier 2 dependency that file already lists as needed from this agent.</t>
        </is>
      </c>
    </row>
    <row r="69" ht="184.05" customHeight="1">
      <c r="A69" s="3" t="inlineStr">
        <is>
          <t>Labor Market</t>
        </is>
      </c>
      <c r="B69" s="3" t="inlineStr">
        <is>
          <t>Literature</t>
        </is>
      </c>
      <c r="C69" s="3" t="inlineStr">
        <is>
          <t>(whole area)</t>
        </is>
      </c>
      <c r="D69" s="3" t="inlineStr">
        <is>
          <t>Suggested acquisition order</t>
        </is>
      </c>
      <c r="E69" s="3" t="inlineStr">
        <is>
          <t>1. Ulyssea (2018) and Meghir, Narita &amp; Robin (2015) — the two-paper core of this bibliography's most distinctive contribution; nothing else here is as directly load-bearing for explaining the Brazilian labor market's central structural feature (informality) to a reader.
2. Harris &amp; Todaro (1970) — cheap, short, and the necessary theoretical setup before either 2015/2018 Brazil paper makes full sense.
3. Diamond (1982), Mortensen (1982), Pissarides (1985) — the three founding search-and-matching papers, read together since they're conventionally treated as a single package (and jointly earned their 2010 Nobel).
4. Borges (2022) — cheap (a blog post, not a paywalled journal article) and the single most current, load-bearing Brazil-specific number in the whole file (NAWRU ≈ 8.5%).
5. Everything else, roughly in cluster order — the Pissarides (2000) and Blanchflower-Oswald (1994) book chapters, and the two Brazilian official methodology notes (PNAD Contínua, CAGED), are lower urgency since their core content is already summarized secondhand elsewhere or is reference material rather than argument-bearing.</t>
        </is>
      </c>
    </row>
    <row r="70" ht="19.05" customHeight="1">
      <c r="A70" s="3" t="inlineStr">
        <is>
          <t>Labor Market</t>
        </is>
      </c>
      <c r="B70" s="3" t="inlineStr">
        <is>
          <t>Literature</t>
        </is>
      </c>
      <c r="C70" s="3" t="inlineStr">
        <is>
          <t>#search_matching_theory_foundations</t>
        </is>
      </c>
      <c r="D70" s="3" t="inlineStr">
        <is>
          <t>the DMP framework: why unemployment and vacancies coexist</t>
        </is>
      </c>
      <c r="E70" s="3" t="n"/>
    </row>
    <row r="71" ht="34.05" customHeight="1">
      <c r="A71" s="3" t="inlineStr">
        <is>
          <t>Labor Market</t>
        </is>
      </c>
      <c r="B71" s="3" t="inlineStr">
        <is>
          <t>Literature</t>
        </is>
      </c>
      <c r="C71" s="3" t="inlineStr">
        <is>
          <t>#beveridge_curve_and_matching_efficiency</t>
        </is>
      </c>
      <c r="D71" s="3" t="inlineStr">
        <is>
          <t>the empirical signature of search frictions, and when it shifts</t>
        </is>
      </c>
      <c r="E71" s="3" t="n"/>
    </row>
    <row r="72" ht="49.05" customHeight="1">
      <c r="A72" s="3" t="inlineStr">
        <is>
          <t>Labor Market</t>
        </is>
      </c>
      <c r="B72" s="3" t="inlineStr">
        <is>
          <t>Literature</t>
        </is>
      </c>
      <c r="C72" s="3" t="inlineStr">
        <is>
          <t>#nairu_and_natural_rate_of_unemployment</t>
        </is>
      </c>
      <c r="D72" s="3" t="inlineStr">
        <is>
          <t>what "full employment" means, and how imprecisely it can be estimated</t>
        </is>
      </c>
      <c r="E72" s="3" t="inlineStr">
        <is>
          <t>Cross-reference, not re-acquired: Friedman, M. (1968), "The Role of Monetary Policy" — already acquired under monetary_policy/ and cross-referenced in the Qual - Inflation tab cluster 1 as the natural-rate hypothesis's founding statement. This cluster covers the estimation problem the natural rate concept creates, not its original theoretical statement.</t>
        </is>
      </c>
    </row>
    <row r="73" ht="34.05" customHeight="1">
      <c r="A73" s="3" t="inlineStr">
        <is>
          <t>Labor Market</t>
        </is>
      </c>
      <c r="B73" s="3" t="inlineStr">
        <is>
          <t>Literature</t>
        </is>
      </c>
      <c r="C73" s="3" t="inlineStr">
        <is>
          <t>#unemployment_volatility_and_wage_rigidity</t>
        </is>
      </c>
      <c r="D73" s="3" t="inlineStr">
        <is>
          <t>why the basic DMP model doesn't move enough, and how to fix it</t>
        </is>
      </c>
      <c r="E73" s="3" t="n"/>
    </row>
    <row r="74" ht="19.05" customHeight="1">
      <c r="A74" s="3" t="inlineStr">
        <is>
          <t>Labor Market</t>
        </is>
      </c>
      <c r="B74" s="3" t="inlineStr">
        <is>
          <t>Literature</t>
        </is>
      </c>
      <c r="C74" s="3" t="inlineStr">
        <is>
          <t>#wage_curve_and_bargaining</t>
        </is>
      </c>
      <c r="D74" s="3" t="inlineStr">
        <is>
          <t>the empirical wage-unemployment relationship</t>
        </is>
      </c>
      <c r="E74" s="3" t="n"/>
    </row>
    <row r="75" ht="49.05" customHeight="1">
      <c r="A75" s="3" t="inlineStr">
        <is>
          <t>Labor Market</t>
        </is>
      </c>
      <c r="B75" s="3" t="inlineStr">
        <is>
          <t>Literature</t>
        </is>
      </c>
      <c r="C75" s="3" t="inlineStr">
        <is>
          <t>#minimum_wage_theory_and_evidence</t>
        </is>
      </c>
      <c r="D75" s="3" t="inlineStr">
        <is>
          <t>does it cost jobs, and under what conditions</t>
        </is>
      </c>
      <c r="E75" s="3" t="inlineStr">
        <is>
          <t>Brazil relevance note: the minimum wage (salário mínimo) plays an outsized role in Brazil relative to most economies, since it's also the indexing base for a large share of pension and social-benefit payments (Previdência, BPC) — its labor-market effects and its fiscal effects are unusually entangled here, which cluster 8 picks up on the institutional side.</t>
        </is>
      </c>
    </row>
    <row r="76" ht="34.05" customHeight="1">
      <c r="A76" s="3" t="inlineStr">
        <is>
          <t>Labor Market</t>
        </is>
      </c>
      <c r="B76" s="3" t="inlineStr">
        <is>
          <t>Literature</t>
        </is>
      </c>
      <c r="C76" s="3" t="inlineStr">
        <is>
          <t>#informality_dual_labor_markets_and_development</t>
        </is>
      </c>
      <c r="D76" s="3" t="inlineStr">
        <is>
          <t>the segment of the Brazilian labor market international theory was built to explain</t>
        </is>
      </c>
      <c r="E76" s="3" t="n"/>
    </row>
    <row r="77" ht="34.05" customHeight="1">
      <c r="A77" s="3" t="inlineStr">
        <is>
          <t>Labor Market</t>
        </is>
      </c>
      <c r="B77" s="3" t="inlineStr">
        <is>
          <t>Literature</t>
        </is>
      </c>
      <c r="C77" s="3" t="inlineStr">
        <is>
          <t>#brazil_labor_market_institutions_and_measurement</t>
        </is>
      </c>
      <c r="D77" s="3" t="inlineStr">
        <is>
          <t>the CLT, the 2017 reform, and how the data itself is built</t>
        </is>
      </c>
      <c r="E77" s="3" t="n"/>
    </row>
    <row r="78" ht="79.05" customHeight="1">
      <c r="A78" s="3" t="inlineStr">
        <is>
          <t>Exchange Rate</t>
        </is>
      </c>
      <c r="B78" s="3" t="inlineStr">
        <is>
          <t>Data</t>
        </is>
      </c>
      <c r="C78" s="3" t="inlineStr">
        <is>
          <t>1. Spot price</t>
        </is>
      </c>
      <c r="D78" s="3" t="inlineStr">
        <is>
          <t>resolved (2026-07)</t>
        </is>
      </c>
      <c r="E78" s="3" t="inlineStr">
        <is>
          <t>Why it matters: the dependent variable — every other category in this inventory exists to explain moves in this one series.
Script: domain/db/brasil/bcb/cmb_ptax.py. Daily series — historical load chunks by year (BCB API rejects windows &gt; 10 years for daily series, confirmed via 406 response).
Remaining gap: the analysis agent (analytics/brasil/exchange_rate/agent_data.py) hasn't been updated yet to pull cmb_ptax into its snapshot — the data exists but isn't wired into the agent's output.</t>
        </is>
      </c>
    </row>
    <row r="79" ht="139.05" customHeight="1">
      <c r="A79" s="3" t="inlineStr">
        <is>
          <t>Exchange Rate</t>
        </is>
      </c>
      <c r="B79" s="3" t="inlineStr">
        <is>
          <t>Data</t>
        </is>
      </c>
      <c r="C79" s="3" t="inlineStr">
        <is>
          <t>2. Interest rate differential (carry)</t>
        </is>
      </c>
      <c r="D79" s="3" t="n"/>
      <c r="E79" s="3" t="inlineStr">
        <is>
          <t>Why it matters: Selic and Fed Funds are the domestic and foreign legs of every carry argument (Verde's §3.1/§3.2 mental models). The real ex-post differential is the UIP-relevant comparison — it strips the pure inflation-differential effect out of the real-rate signal — while the ex-ante version is what markets are actually pricing, which is the input UIP and the fair-value models in the bibliography's cluster 2 actually need. The cupom cambial is the BCB's own named gauge for the cost of onshore dollar liquidity, Brazil's local instance of the CIP-basis concept, and Verde's tracked carry instrument (§3.4); DOL/WDO futures give the market-implied forward points directly.
Script: domain/db/international/fred/diferenciais_juros.py. Full history load (2026-07): selic (SGS 432, daily) is chunked in 8-year windows to avoid the BCB API's 406 on windows &gt; 10 years.
Gaps:</t>
        </is>
      </c>
    </row>
    <row r="80" ht="139.05" customHeight="1">
      <c r="A80" s="3" t="inlineStr">
        <is>
          <t>Exchange Rate</t>
        </is>
      </c>
      <c r="B80" s="3" t="inlineStr">
        <is>
          <t>Data</t>
        </is>
      </c>
      <c r="C80" s="3" t="inlineStr">
        <is>
          <t>3. Terms of trade / commodity prices</t>
        </is>
      </c>
      <c r="D80" s="3" t="n"/>
      <c r="E80" s="3" t="inlineStr">
        <is>
          <t>Why it matters: the aggregate index is the signal behind every commodity-exporter currency argument (BEER's fundamental driver set, GSFEER's current-account channel). Individual commodity prices decompose which commodity is driving a move — needed to tell a structural, volume-driven surplus from a cyclical, price-driven one (Verde's §2.1/§2.2).
Script: domain/db/brasil/ipea/cmb_termos_troca.py. Source: Funcex, via the IPEADATA OData API (connectors/ipeadata.py) — not BCB SGS.
Correction (2026-07): the previous entries here (termos_de_troca_a/b, BCB SGS 22099/22100) were confirmed to be National Accounts (GDP) series, not terms of trade — BCB SGS does not publish a terms-of-trade index at all. Those two series and their rows were removed from cmb_termos_troca.
Gaps:</t>
        </is>
      </c>
    </row>
    <row r="81" ht="109.05" customHeight="1">
      <c r="A81" s="3" t="inlineStr">
        <is>
          <t>Exchange Rate</t>
        </is>
      </c>
      <c r="B81" s="3" t="inlineStr">
        <is>
          <t>Data</t>
        </is>
      </c>
      <c r="C81" s="3" t="inlineStr">
        <is>
          <t>4. Balance of payments</t>
        </is>
      </c>
      <c r="D81" s="3" t="n"/>
      <c r="E81" s="3" t="inlineStr">
        <is>
          <t>Why it matters: the flow-side counterpart to the trade-balance/capital-account identity at the base of the whole determination cluster. The FDI-vs-portfolio split is not cosmetic: FDI is the safest instrument in the capital-inflow riskiness ranking (Ostry et al. 2010), portfolio flows the riskier and more reversible counterpart — and that split is what the capital-controls literature (bibliography cluster 7) is built around, so tracking them separately is what lets crisis vulnerability be read at all.
Script: domain/db/brasil/bcb/cmb_balanco_pagmt.py. BPM6 methodology.
Gaps: none identified at this time — coverage considered complete for the current FX report's purposes.</t>
        </is>
      </c>
    </row>
    <row r="82" ht="64.05" customHeight="1">
      <c r="A82" s="3" t="inlineStr">
        <is>
          <t>Exchange Rate</t>
        </is>
      </c>
      <c r="B82" s="3" t="inlineStr">
        <is>
          <t>Data</t>
        </is>
      </c>
      <c r="C82" s="3" t="inlineStr">
        <is>
          <t>5. FX flow (registered vs. contracted)</t>
        </is>
      </c>
      <c r="D82" s="3" t="n"/>
      <c r="E82" s="3" t="inlineStr">
        <is>
          <t>Why it matters: registered flow is the broadest registered-channel measure, the empirical counterpart to the flow-supply/demand channel in the current-account-adjustment framework; contracted FX is the transactional, settlement-level view of the same market.
Two distinct tables measuring different channels — not substitutes for one another:</t>
        </is>
      </c>
    </row>
    <row r="83" ht="64.05" customHeight="1">
      <c r="A83" s="3" t="inlineStr">
        <is>
          <t>Exchange Rate</t>
        </is>
      </c>
      <c r="B83" s="3" t="inlineStr">
        <is>
          <t>Data</t>
        </is>
      </c>
      <c r="C83" s="3" t="inlineStr">
        <is>
          <t>5a. Registered FX flow (BCB Nota Cambial)</t>
        </is>
      </c>
      <c r="D83" s="3" t="n"/>
      <c r="E83" s="3" t="inlineStr">
        <is>
          <t>Script: domain/db/brasil/bcb/cmb_fluxo_cambial.py. Coverage: 2003 → today.
Gaps: CEP/CBE sub-items of the financial flow (finer granularity, published in the weekly Nota Cambial) — candidate SGS codes (24372–24376) unconfirmed. Commercial balance (24366) timed out during research — can be derived as comercial_entrada − comercial_saida if needed.</t>
        </is>
      </c>
    </row>
    <row r="84" ht="49.05" customHeight="1">
      <c r="A84" s="3" t="inlineStr">
        <is>
          <t>Exchange Rate</t>
        </is>
      </c>
      <c r="B84" s="3" t="inlineStr">
        <is>
          <t>Data</t>
        </is>
      </c>
      <c r="C84" s="3" t="inlineStr">
        <is>
          <t>5b. Contracted FX (bank-client movement)</t>
        </is>
      </c>
      <c r="D84" s="3" t="n"/>
      <c r="E84" s="3" t="inlineStr">
        <is>
          <t>Script: domain/db/brasil/bcb/cmb_cambio_contratado.py. ~46k observations.
Conceptual difference: cmb_cambio_contratado measures bank-client settlements (BCB Tables 13/14); cmb_fluxo_cambial (24xxx codes) is a broader measure covering all registered channels — the two should not be summed or treated as equivalent.</t>
        </is>
      </c>
    </row>
    <row r="85" ht="199.05" customHeight="1">
      <c r="A85" s="3" t="inlineStr">
        <is>
          <t>Exchange Rate</t>
        </is>
      </c>
      <c r="B85" s="3" t="inlineStr">
        <is>
          <t>Data</t>
        </is>
      </c>
      <c r="C85" s="3" t="inlineStr">
        <is>
          <t>6. International reserves and BCB intervention</t>
        </is>
      </c>
      <c r="D85" s="3" t="n"/>
      <c r="E85" s="3" t="inlineStr">
        <is>
          <t>Why it matters: the stock side is how much ammunition the BCB has, central to every fixed/managed-rate defense argument in the bibliography's cluster 3. Banks' net FX spot position is the banking-system mirror of the carry trade (posicao_vendida_carry_incentive in the conceptual map, sourced from the BCB's own technical note) — who is actually short or long FX onshore. The swap position is the off-balance-sheet instrument the BCB uses instead of spot intervention, and the repo-line stock is temporary liquidity, distinct from a permanent reserves change. The intervention series are the flow side: what the BCB is doing right now, as opposed to what it holds.
Script: domain/db/brasil/bcb/cmb_reservas_bc.py. ~19k observations total. Full detail in analytics/brasil/exchange_rate/CLAUDE.md.
Coverage considered robust — includes both the stock (reserves, bank position, swap) and the intervention flow (BCB's net buying/selling in spot and forwards), which lets the agent distinguish "how much the BCB has" from "what the BCB is doing right now."
Gaps: none identified — the historical "gross reserves" pending item (SGS 13127, timeout) has been superseded by using the liquidity concept plus detailed components.</t>
        </is>
      </c>
    </row>
    <row r="86" ht="79.05" customHeight="1">
      <c r="A86" s="3" t="inlineStr">
        <is>
          <t>Exchange Rate</t>
        </is>
      </c>
      <c r="B86" s="3" t="inlineStr">
        <is>
          <t>Data</t>
        </is>
      </c>
      <c r="C86" s="3" t="inlineStr">
        <is>
          <t>7. Real effective exchange rate (REER)</t>
        </is>
      </c>
      <c r="D86" s="3" t="n"/>
      <c r="E86" s="3" t="inlineStr">
        <is>
          <t>Why it matters: the core equilibrium-valuation benchmark underlying BEER/GSDEER-style arguments. The peer set is what lets BRL's REER move be read relative to comparable currencies rather than in isolation — which matters more here than it would elsewhere, since the base's non-Brazil EM depth is otherwise thin (see bibliography cluster 3).
Script: domain/db/international/bis/cmb_reer.py. Source: BIS Statistics API.
Gaps:</t>
        </is>
      </c>
    </row>
    <row r="87" ht="94.05" customHeight="1">
      <c r="A87" s="3" t="inlineStr">
        <is>
          <t>Exchange Rate</t>
        </is>
      </c>
      <c r="B87" s="3" t="inlineStr">
        <is>
          <t>Data</t>
        </is>
      </c>
      <c r="C87" s="3" t="inlineStr">
        <is>
          <t>8. Speculative positioning (FX futures)</t>
        </is>
      </c>
      <c r="D87" s="3" t="n"/>
      <c r="E87" s="3" t="inlineStr">
        <is>
          <t>Why it matters: the standard futures-market positioning gauge, and the data behind Verde's §5.3 positioning-as-contrarian-signal mental model. Options-based positioning (skew, risk reversal) would be the volatility-market complement — it ties directly to the FX-options gap in bibliography cluster 1 (Garman-Kohlhagen and the options/risk-reversal primer), so the data gap and the literature gap here are the same gap seen from two sides.
Script: domain/db/international/cftc/cmb_cot_fx.py. Source: CFTC Traders in Financial Futures.
Gaps:</t>
        </is>
      </c>
    </row>
    <row r="88" ht="94.05" customHeight="1">
      <c r="A88" s="3" t="inlineStr">
        <is>
          <t>Exchange Rate</t>
        </is>
      </c>
      <c r="B88" s="3" t="inlineStr">
        <is>
          <t>Data</t>
        </is>
      </c>
      <c r="C88" s="3" t="inlineStr">
        <is>
          <t>9. Inflation differential and market expectations</t>
        </is>
      </c>
      <c r="D88" s="3" t="n"/>
      <c r="E88" s="3" t="inlineStr">
        <is>
          <t>Why it matters: IPCA and US CPI are the two legs needed to turn the nominal Selic–Fed Funds spread into a real one (§2). Focus is the forward-looking domestic input the ex-ante differential needs, and the raw material for any credibility/anchoring argument (Verde's §1.7).
Scripts: domain/db/brasil/bcb/inflc_agregados.py, domain/db/brasil/bcb/expc_focus.py.
Use for FX analysis: expc_focus is already ready to feed the pending ex-ante differentials (item 2 above) — Focus Selic EOP 12m and Focus IPCA 12m are already available; only the script combining them with the US side is missing.</t>
        </is>
      </c>
    </row>
    <row r="89" ht="124.05" customHeight="1">
      <c r="A89" s="3" t="inlineStr">
        <is>
          <t>Exchange Rate</t>
        </is>
      </c>
      <c r="B89" s="3" t="inlineStr">
        <is>
          <t>Data</t>
        </is>
      </c>
      <c r="C89" s="3" t="inlineStr">
        <is>
          <t>10. Domestic activity backdrop (context, not FX-specific)</t>
        </is>
      </c>
      <c r="D89" s="3" t="n"/>
      <c r="E89" s="3" t="inlineStr">
        <is>
          <t>Not an FX category, kept as context. The presentation-layer copy merged in here dropped this section outright, on the grounds that it is general macro backdrop rather than FX-specific data — a fair call for a reading audience, but the series are worth keeping listed for the agent. General macro_brasil series that help contextualize the domestic cycle (relevant for carry/country risk, but not "FX data" per se): atv_ibcbr (monthly GDP proxy), atv_pib, atv_pim (industrial production), atv_pmc/atv_pms (retail/services), mt_pnad (labor market), mt_caged, cred_credito_amplo, cred_credito_familias. Full table in CLAUDE.md.
On the US side, activity/inflation data today only exists ad hoc inside analytics/oraculo/us/term_us.py (via FRED) — there's no persistent macro_us schema equivalent to macro_brasil (already logged as a pending item in CLAUDE.md, "Média prioridade — US expandir dados").</t>
        </is>
      </c>
    </row>
    <row r="90" ht="154.05" customHeight="1">
      <c r="A90" s="3" t="inlineStr">
        <is>
          <t>Monetary Policy</t>
        </is>
      </c>
      <c r="B90" s="3" t="inlineStr">
        <is>
          <t>Data</t>
        </is>
      </c>
      <c r="C90" s="3" t="inlineStr">
        <is>
          <t>1. Policy rate &amp; COPOM decision history</t>
        </is>
      </c>
      <c r="D90" s="3" t="inlineStr">
        <is>
          <t>GAP</t>
        </is>
      </c>
      <c r="E90" s="3" t="inlineStr">
        <is>
          <t>There is no dedicated table recording COPOM decisions as discrete events (meeting date, rate before/after, change in bps, vote count/dissent). The Selic level only exists today embedded inside macro_international.diferenciais_juros (series selic, sourced from BCB SGS 432) as a continuous monthly series for computing rate differentials — it was never built to answer "what did COPOM actually decide, and how divided was the committee, at each meeting."
Impact: without this, the agent can't backtest a reaction function against actual historical decisions, or characterize dissent/unanimity patterns (directly relevant to reading credibility, per the Barro-Gordon/Rogoff literature already in the bibliography).
Possible approach: a copom_decisions table — (meeting_date, selic_before, selic_after, change_bps, votes_for, votes_against, unanimous) — sourced from BCB SGS 432 (which already carries COPOM meeting dates, not calendar dates) plus vote counts parsed from the Ata once §8 of the bibliography is acquired. No script built yet.</t>
        </is>
      </c>
    </row>
    <row r="91" ht="64.05" customHeight="1">
      <c r="A91" s="3" t="inlineStr">
        <is>
          <t>Monetary Policy</t>
        </is>
      </c>
      <c r="B91" s="3" t="inlineStr">
        <is>
          <t>Data</t>
        </is>
      </c>
      <c r="C91" s="3" t="inlineStr">
        <is>
          <t>2. Interest rate differentials (carry)</t>
        </is>
      </c>
      <c r="D91" s="3" t="n"/>
      <c r="E91" s="3" t="inlineStr">
        <is>
          <t>Script: domain/db/international/fred/diferenciais_juros.py. Same table already documented from the FX angle in exchange_rate_data_inventory.md §2 — for monetary policy the read is different: this is the agent's primary evidence of where policy stance sits relative to global conditions, not just a carry-trade input.
Gaps (same underlying ones as the FX inventory, restated for this agent's purposes):</t>
        </is>
      </c>
    </row>
    <row r="92" ht="49.05" customHeight="1">
      <c r="A92" s="3" t="inlineStr">
        <is>
          <t>Monetary Policy</t>
        </is>
      </c>
      <c r="B92" s="3" t="inlineStr">
        <is>
          <t>Data</t>
        </is>
      </c>
      <c r="C92" s="3" t="inlineStr">
        <is>
          <t>3. Market-implied rate expectations</t>
        </is>
      </c>
      <c r="D92" s="3" t="n"/>
      <c r="E92" s="3" t="inlineStr">
        <is>
          <t>Script: domain/db/brasil/bcb/expc_focus.py. This is genuinely useful, already-available data — the agent can compare its own reaction-function output against what professional forecasters expect BCB to do, without waiting on any other agent.
Gaps:</t>
        </is>
      </c>
    </row>
    <row r="93" ht="34.05" customHeight="1">
      <c r="A93" s="3" t="inlineStr">
        <is>
          <t>Monetary Policy</t>
        </is>
      </c>
      <c r="B93" s="3" t="inlineStr">
        <is>
          <t>Data</t>
        </is>
      </c>
      <c r="C93" s="3" t="inlineStr">
        <is>
          <t>4. Real interest rate &amp; neutral rate (r*)</t>
        </is>
      </c>
      <c r="D93" s="3" t="inlineStr">
        <is>
          <t>largely a GAP</t>
        </is>
      </c>
      <c r="E93" s="3" t="inlineStr">
        <is>
          <t>Gaps:</t>
        </is>
      </c>
    </row>
    <row r="94" ht="49.05" customHeight="1">
      <c r="A94" s="3" t="inlineStr">
        <is>
          <t>Monetary Policy</t>
        </is>
      </c>
      <c r="B94" s="3" t="inlineStr">
        <is>
          <t>Data</t>
        </is>
      </c>
      <c r="C94" s="3" t="inlineStr">
        <is>
          <t>5. COPOM primary-source communications</t>
        </is>
      </c>
      <c r="D94" s="3" t="n"/>
      <c r="E94" s="3" t="inlineStr">
        <is>
          <t>Covered in monetary_policy_bibliography_candidates.md §8 (Comunicado, Ata, Relatório de Política Monetária). Not data in the numeric-series sense — text. Retention window and ingestion mechanism explicitly deferred in that file; not repeated here. Once acquired, the RPM in particular would also be the natural source for BCB's own r* assumption (see item 4).</t>
        </is>
      </c>
    </row>
    <row r="95" ht="79.05" customHeight="1">
      <c r="A95" s="3" t="inlineStr">
        <is>
          <t>Monetary Policy</t>
        </is>
      </c>
      <c r="B95" s="3" t="inlineStr">
        <is>
          <t>Data</t>
        </is>
      </c>
      <c r="C95" s="3" t="inlineStr">
        <is>
          <t>6. Inflation target regime parameters</t>
        </is>
      </c>
      <c r="D95" s="3" t="inlineStr">
        <is>
          <t>GAP, low effort to close</t>
        </is>
      </c>
      <c r="E95" s="3" t="inlineStr">
        <is>
          <t>No table records the history of the target itself: the numeric target, tolerance band width, and target horizon, as set by CMN (Conselho Monetário Nacional) resolutions, which have changed several times since 1999 (target level, band width, and the horizon convention have all been revised over the years). This is small, slow-moving, easy to build (a short lookup table by year) but currently doesn't exist anywhere — without it, the agent can't correctly compute an inflation gap even once it has an inflation forecast, since "the target" isn't a fixed constant across the whole sample.</t>
        </is>
      </c>
    </row>
    <row r="96" ht="49.05" customHeight="1">
      <c r="A96" s="3" t="inlineStr">
        <is>
          <t>Monetary Policy</t>
        </is>
      </c>
      <c r="B96" s="3" t="inlineStr">
        <is>
          <t>Data</t>
        </is>
      </c>
      <c r="C96" s="3" t="inlineStr">
        <is>
          <t>7. Global monetary conditions</t>
        </is>
      </c>
      <c r="D96" s="3" t="n"/>
      <c r="E96" s="3" t="inlineStr">
        <is>
          <t>Gaps: only the Fed is covered. No broader global policy-rate context (ECB, other EM central banks) for situating BCB within the "global financial cycle" framing central to the Rey (2013) / Obstfeld (2015) debate in the bibliography's #global_spillovers_em_autonomy cluster. Low priority unless a specific cross-country comparison becomes necessary.</t>
        </is>
      </c>
    </row>
    <row r="97" ht="34.05" customHeight="1">
      <c r="A97" s="3" t="inlineStr">
        <is>
          <t>Monetary Policy</t>
        </is>
      </c>
      <c r="B97" s="3" t="inlineStr">
        <is>
          <t>Data</t>
        </is>
      </c>
      <c r="C97" s="3" t="inlineStr">
        <is>
          <t>Tier 2</t>
        </is>
      </c>
      <c r="D97" s="3" t="n"/>
      <c r="E97" s="3" t="inlineStr">
        <is>
          <t>None of this exists yet in any form — these are the structured outputs the monetary policy agent will need to request once each supplying agent is actually scoped and built. Listed here so the dependency is visible now rather than discovered later.</t>
        </is>
      </c>
    </row>
    <row r="98" ht="49.05" customHeight="1">
      <c r="A98" s="3" t="inlineStr">
        <is>
          <t>Monetary Policy</t>
        </is>
      </c>
      <c r="B98" s="3" t="inlineStr">
        <is>
          <t>Data</t>
        </is>
      </c>
      <c r="C98" s="3" t="inlineStr">
        <is>
          <t>Tier 2 — From the exchange rate agent (already substantially built</t>
        </is>
      </c>
      <c r="D98" s="3" t="inlineStr">
        <is>
          <t>see exchange_rate_data_inventory.md)</t>
        </is>
      </c>
      <c r="E98" s="3" t="inlineStr">
        <is>
          <t>This dependency is less hypothetical than the three above, since the underlying FX data pipeline already exists (cmb_reservas_bc, cmb_fluxo_cambial, cmb_reer, cmb_cot_fx, cmb_balanco_pagmt). What's still missing is the packaging into a monetary-policy-ready number:</t>
        </is>
      </c>
    </row>
    <row r="99" ht="79.05" customHeight="1">
      <c r="A99" s="3" t="inlineStr">
        <is>
          <t>Monetary Policy</t>
        </is>
      </c>
      <c r="B99" s="3" t="inlineStr">
        <is>
          <t>Data</t>
        </is>
      </c>
      <c r="C99" s="3" t="inlineStr">
        <is>
          <t>Tier 2 — How to update this inventory</t>
        </is>
      </c>
      <c r="D99" s="3" t="n"/>
      <c r="E99" s="3" t="inlineStr">
        <is>
          <t>Tier 1: when a new owned table/series is built (e.g. copom_decisions, an r* estimate), update the relevant section and remove/adjust the corresponding gap-summary row.
Tier 2: when a new specialist agent (inflation, activity, fiscal, or a global/markets agent) gets scoped, replace its placeholder bullet list with the actual table/column references that agent produces, the same way Tier 1 entries are documented — and note the hand-off format (e.g. a shared table, an API call, a structured file) once that's decided.</t>
        </is>
      </c>
    </row>
    <row r="100" ht="64.05" customHeight="1">
      <c r="A100" s="3" t="inlineStr">
        <is>
          <t>Economic Activity</t>
        </is>
      </c>
      <c r="B100" s="3" t="inlineStr">
        <is>
          <t>Data</t>
        </is>
      </c>
      <c r="C100" s="3" t="inlineStr">
        <is>
          <t>1. Quarterly GDP (Contas Nacionais Trimestrais)</t>
        </is>
      </c>
      <c r="D100" s="3" t="n"/>
      <c r="E100" s="3" t="inlineStr">
        <is>
          <t>Script: domain/db/brasil/ibge/atv_pib.py. IBGE aggregados 1620 (NSA)/1621 (SA), volume-index series. This is a genuinely complete both-sides-of-GDP dataset — supply and demand decomposition together, which many countries' own statistical agencies don't publish this readily disaggregated.
Gaps:</t>
        </is>
      </c>
    </row>
    <row r="101" ht="94.05" customHeight="1">
      <c r="A101" s="3" t="inlineStr">
        <is>
          <t>Economic Activity</t>
        </is>
      </c>
      <c r="B101" s="3" t="inlineStr">
        <is>
          <t>Data</t>
        </is>
      </c>
      <c r="C101" s="3" t="inlineStr">
        <is>
          <t>2. IBC-Br (monthly GDP proxy)</t>
        </is>
      </c>
      <c r="D101" s="3" t="n"/>
      <c r="E101" s="3" t="inlineStr">
        <is>
          <t>Script: domain/db/brasil/bcb/atv_ibcbr.py. BCB SGS. Directly matches the methodology documented in bibliography cluster 7 (the 2010 launch box, 2016 revision, 2018 GDP-comparison study) — worth cross-checking the local column set against that methodology once those three sources are processed into the conceptual map, the same way inflation's inventory flagged doing for its núcleo series against NT 57.
Gaps: none identified at the raw-series level — this table is essentially complete relative to what BCB itself publishes for IBC-Br.</t>
        </is>
      </c>
    </row>
    <row r="102" ht="79.05" customHeight="1">
      <c r="A102" s="3" t="inlineStr">
        <is>
          <t>Economic Activity</t>
        </is>
      </c>
      <c r="B102" s="3" t="inlineStr">
        <is>
          <t>Data</t>
        </is>
      </c>
      <c r="C102" s="3" t="inlineStr">
        <is>
          <t>3. Monthly industrial production (PIM)</t>
        </is>
      </c>
      <c r="D102" s="3" t="n"/>
      <c r="E102" s="3" t="inlineStr">
        <is>
          <t>Script: domain/db/brasil/ibge/atv_pim.py. IBGE aggregado 8888.
Gap: only the 3 highest-level categories are ingested — IBGE's PIM also publishes by broad sectoral/use-based category (capital goods, intermediate goods, durable/semi-durable/non-durable consumer goods) and by specific industrial sector (CNAE divisions), neither of which is captured here. This is the PIM-side equivalent of the disaggregation IPCA already has in the inflation agent's inventory — useful for identifying which part of industry is driving a given month's move, not just the aggregate.</t>
        </is>
      </c>
    </row>
    <row r="103" ht="64.05" customHeight="1">
      <c r="A103" s="3" t="inlineStr">
        <is>
          <t>Economic Activity</t>
        </is>
      </c>
      <c r="B103" s="3" t="inlineStr">
        <is>
          <t>Data</t>
        </is>
      </c>
      <c r="C103" s="3" t="inlineStr">
        <is>
          <t>4. Monthly retail trade (PMC)</t>
        </is>
      </c>
      <c r="D103" s="3" t="n"/>
      <c r="E103" s="3" t="inlineStr">
        <is>
          <t>Script: domain/db/brasil/ibge/atv_pmc.py. IBGE aggregados 8880/8881/8883.
Gap — short history: coverage per CLAUDE.md: 2023 → today only, driven by the script's years_back=3 default. IBGE's PMC series (both restricted and expanded) go back to the late 1990s/2000s depending on the exact series — a full backfill would materially improve this table's usefulness for anything beyond the most recent cycle.</t>
        </is>
      </c>
    </row>
    <row r="104" ht="214.05" customHeight="1">
      <c r="A104" s="3" t="inlineStr">
        <is>
          <t>Economic Activity</t>
        </is>
      </c>
      <c r="B104" s="3" t="inlineStr">
        <is>
          <t>Data</t>
        </is>
      </c>
      <c r="C104" s="3" t="inlineStr">
        <is>
          <t>4a. Vehicle sales/licensing (Fenabrave via BCB SGS)</t>
        </is>
      </c>
      <c r="D104" s="3" t="inlineStr">
        <is>
          <t>GAP, verified codes, not yet ingested</t>
        </is>
      </c>
      <c r="E104" s="3" t="inlineStr">
        <is>
          <t>A confirmed, currently-active family of BCB SGS series, sourced from Fenabrave (the dealer federation) and distinct from anything already in PMC — the veiculos_motocicletas_pecas segment in macro_brasil.atv_pmc §4 tracks retail revenue for vehicle dealers, while this family tracks actual unit sales volumes by vehicle type. Vehicle sales/licensing is one of the most-watched high-frequency consumer-durables activity signals in Brazil, comparable to auto sales data in the US — checked live against the BCB SGS API on 2026-07 and all four series are current through May 2026:
Related, not yet ingested — vehicle-purchase credit (ties this section to §10's credit table): Concessões de crédito com recursos livres — Pessoas físicas — Aquisição de veículos (SGS 20673) and the corresponding average interest rates for individuals (SGS 25471) and legal entities (SGS 20728) — a directly relevant credit-conditions overlay for interpreting vehicle sales moves (are sales rising because of demand, or because auto-loan rates fell).
Note on discontinued predecessor codes: SGS 1381 and 1385 (an older vehicle-sales series pair) return data only through December 2020 — superseded by the 7384-7387 family above; don't use them for new ingestion.
Possible source: straightforward addition via the existing connectors/bcb.py SGS client, same pattern as atv_ibcbr.py or cred_credito_amplo.py — no new connector needed, just a new script (e.g. domain/db/brasil/bcb/vendas_veiculos.py) with these 7 codes (4 sales + 3 credit/rate).</t>
        </is>
      </c>
    </row>
    <row r="105" ht="64.05" customHeight="1">
      <c r="A105" s="3" t="inlineStr">
        <is>
          <t>Economic Activity</t>
        </is>
      </c>
      <c r="B105" s="3" t="inlineStr">
        <is>
          <t>Data</t>
        </is>
      </c>
      <c r="C105" s="3" t="inlineStr">
        <is>
          <t>5. Monthly services (PMS)</t>
        </is>
      </c>
      <c r="D105" s="3" t="n"/>
      <c r="E105" s="3" t="inlineStr">
        <is>
          <t>Script: domain/db/brasil/ibge/atv_pms.py. IBGE aggregado 8688. Genuinely deep disaggregation — likely the most granular single table in macro_brasil outside of inflacao.
Gap — same short-history issue as PMC: coverage per CLAUDE.md: 2023 → today only (years_back=3 default), while IBGE's PMS series go back further. Same low-effort fix as §4.</t>
        </is>
      </c>
    </row>
    <row r="106" ht="169.05" customHeight="1">
      <c r="A106" s="3" t="inlineStr">
        <is>
          <t>Economic Activity</t>
        </is>
      </c>
      <c r="B106" s="3" t="inlineStr">
        <is>
          <t>Data</t>
        </is>
      </c>
      <c r="C106" s="3" t="inlineStr">
        <is>
          <t>6. Output gap and potential growth</t>
        </is>
      </c>
      <c r="D106" s="3" t="inlineStr">
        <is>
          <t>GAP, now unblocked by the literature pass</t>
        </is>
      </c>
      <c r="E106" s="3" t="inlineStr">
        <is>
          <t>No output gap or potential-output series is computed anywhere in the database — this is the same gap already flagged in monetary_policy_data_inventory.md §4 ("no neutral/equilibrium real rate... no output gap") from the monetary policy side. What's changed since that inventory was written: the methodology is no longer missing — economic_activity_bibliography_candidates.md cluster 5 now has both the general toolkit (HP filter, Blanchard-Quah SVAR, Kuttner unobserved-components) and two Brazil-specific applications (Cusinato-Minella-Pôrto Júnior 2010, BCB WP 203; Souza Júnior 2005, IPEA TD 1130) with real, replicable methodology. The blocker is now purely implementation — computing any of these against macro_brasil.atv_pib (§1) and/or atv_ibcbr (§2), which are already sufficient inputs.
Recommended starting point: the HP filter is the cheapest to implement and the most-replicated in the literature, but per Hodrick &amp; Prescott's own paper (and its well-known end-of-sample bias) should be flagged as a first-pass estimate, not a final one — the Harvey-Clark unobserved-components approach from Cusinato et al. (2010) is more defensible but requires more implementation work.</t>
        </is>
      </c>
    </row>
    <row r="107" ht="139.05" customHeight="1">
      <c r="A107" s="3" t="inlineStr">
        <is>
          <t>Economic Activity</t>
        </is>
      </c>
      <c r="B107" s="3" t="inlineStr">
        <is>
          <t>Data</t>
        </is>
      </c>
      <c r="C107" s="3" t="inlineStr">
        <is>
          <t>7. Productivity and TFP</t>
        </is>
      </c>
      <c r="D107" s="3" t="inlineStr">
        <is>
          <t>GAP, data exists externally but isn't ingested</t>
        </is>
      </c>
      <c r="E107" s="3" t="inlineStr">
        <is>
          <t>economic_activity_bibliography_candidates.md cluster 9 identifies exactly where Brazilian productivity data lives: BCB's own labor-productivity study (Estudo Especial 27/2018) is a one-off report, not an ongoing series, and FGV/IBRE's own annual TFP series (Veloso, Matos &amp; Peruchetti, 2020a/b) is published on the Observatório da Produtividade Regis Bonelli (ibre.fgv.br/observatorio-produtividade) — a portal, not an SGS-style API.
Impact: the agent cannot today track Brazilian TFP or labor productivity as a time series at all — every existing reference is a static report snapshot.
Possible source: would require either (a) a lightweight scraper against the Observatório da Produtividade portal (structure and update cadence not yet investigated), or (b) manually re-entering the annual series from Veloso, Matos &amp; Peruchetti's published tables once that source is acquired and processed. Not yet scoped either way.</t>
        </is>
      </c>
    </row>
    <row r="108" ht="124.05" customHeight="1">
      <c r="A108" s="3" t="inlineStr">
        <is>
          <t>Economic Activity</t>
        </is>
      </c>
      <c r="B108" s="3" t="inlineStr">
        <is>
          <t>Data</t>
        </is>
      </c>
      <c r="C108" s="3" t="inlineStr">
        <is>
          <t>8. Business cycle dating (CODACE)</t>
        </is>
      </c>
      <c r="D108" s="3" t="inlineStr">
        <is>
          <t>GAP</t>
        </is>
      </c>
      <c r="E108" s="3" t="inlineStr">
        <is>
          <t>No table records Brazil's own business-cycle turning points. This is the direct analogue of the "no COPOM decision history table" gap already flagged in monetary_policy_data_inventory.md §1 — CODACE (FGV/IBRE's dating committee, cluster 6 of the bibliography) publishes peak/trough dates on an irregular basis, and nothing here captures them as discrete, queryable events.
Impact: the agent can describe the current IBC-Br/GDP trend but can't answer "how does the current slowdown compare, in depth and duration, to the last N recessions" without manually looking up CODACE's own bulletins each time.
Possible approach: a small codace_ciclos table — (data_pico, data_vale, duracao_contracao_meses, duracao_expansao_meses) — sourced by periodically checking CODACE's published chronology (ibre.fgv.br). No script built yet; low data volume (a handful of cycles since CODACE's chronology starts in the 1980s) makes this cheap once someone owns the periodic check.</t>
        </is>
      </c>
    </row>
    <row r="109" ht="79.05" customHeight="1">
      <c r="A109" s="3" t="inlineStr">
        <is>
          <t>Economic Activity</t>
        </is>
      </c>
      <c r="B109" s="3" t="inlineStr">
        <is>
          <t>Data</t>
        </is>
      </c>
      <c r="C109" s="3" t="inlineStr">
        <is>
          <t>9. Leading/coincident composite indicators and financial conditions</t>
        </is>
      </c>
      <c r="D109" s="3" t="inlineStr">
        <is>
          <t>GAP</t>
        </is>
      </c>
      <c r="E109" s="3" t="inlineStr">
        <is>
          <t>Beyond IBC-Br itself (§2, which is BCB's own coincident index), none of the other indicators identified in bibliography cluster 6 are ingested:
Possible source for ICF specifically: BCB may publish the ICF itself via SGS (unconfirmed — would need a quick check of the Estudo Especial 76/2020 for a series code, the same way NT 57 documented exact codes for the inflation núcleos); if not on SGS, it would need to be replicated from the 26 underlying inputs, a much larger task.</t>
        </is>
      </c>
    </row>
    <row r="110" ht="49.05" customHeight="1">
      <c r="A110" s="3" t="inlineStr">
        <is>
          <t>Economic Activity</t>
        </is>
      </c>
      <c r="B110" s="3" t="inlineStr">
        <is>
          <t>Data</t>
        </is>
      </c>
      <c r="C110" s="3" t="inlineStr">
        <is>
          <t>10. Credit (activity/financial-conditions input, owned but cross-referenced)</t>
        </is>
      </c>
      <c r="D110" s="3" t="n"/>
      <c r="E110" s="3" t="inlineStr">
        <is>
          <t>Gap: no credit impulse measure computed (the change in new credit flow as a share of GDP, the standard "credit impulse" concept from the financial-accelerator literature already in monetary policy's bibliography) — only the raw stock/flow series exist today.</t>
        </is>
      </c>
    </row>
    <row r="111" ht="34.05" customHeight="1">
      <c r="A111" s="3" t="inlineStr">
        <is>
          <t>Economic Activity</t>
        </is>
      </c>
      <c r="B111" s="3" t="inlineStr">
        <is>
          <t>Data</t>
        </is>
      </c>
      <c r="C111" s="3" t="inlineStr">
        <is>
          <t>11. Household financial conditions (context, partially owned)</t>
        </is>
      </c>
      <c r="D111" s="3" t="n"/>
      <c r="E111" s="3" t="inlineStr">
        <is>
          <t>Relevant as a consumption-capacity constraint (household deleveraging/releveraging cycles) but more directly tied to credit conditions than to activity measurement itself — flagged here for completeness rather than as a priority.</t>
        </is>
      </c>
    </row>
    <row r="112" ht="64.05" customHeight="1">
      <c r="A112" s="3" t="inlineStr">
        <is>
          <t>Economic Activity</t>
        </is>
      </c>
      <c r="B112" s="3" t="inlineStr">
        <is>
          <t>Data</t>
        </is>
      </c>
      <c r="C112" s="3" t="inlineStr">
        <is>
          <t>Tier 2 — From the monetary policy agent (reciprocal dependency, already documented from that side)</t>
        </is>
      </c>
      <c r="D112" s="3" t="n"/>
      <c r="E112" s="3" t="inlineStr">
        <is>
          <t>monetary_policy_data_inventory.md already lists this agent's expected output-gap and credit-impulse deliverables as its own Tier 2 gap — so the dependency here runs the other way too: this agent would want the real Selic/real rate stance (already computed in macro_international.diferenciais_juros) to interpret whether a given activity reading reflects tight or loose policy, not just describe the reading in isolation.</t>
        </is>
      </c>
    </row>
    <row r="113" ht="79.05" customHeight="1">
      <c r="A113" s="3" t="inlineStr">
        <is>
          <t>Economic Activity</t>
        </is>
      </c>
      <c r="B113" s="3" t="inlineStr">
        <is>
          <t>Data</t>
        </is>
      </c>
      <c r="C113" s="3" t="inlineStr">
        <is>
          <t>Tier 2 — How to update this inventory</t>
        </is>
      </c>
      <c r="D113" s="3" t="n"/>
      <c r="E113" s="3" t="inlineStr">
        <is>
          <t>Tier 1: when a new owned table/series is built (e.g. an output gap estimate, a codace_ciclos table, a TFP scraper), update the relevant section and remove/adjust the corresponding gap-summary row.
Tier 2: when the labor market vs. economic activity split is finalized, and when fiscal/global-markets agents get scoped, replace each placeholder bullet list with the actual table/column references those agents produce, the same way Tier 1 entries are documented — mirroring the convention in monetary_policy_data_inventory.md and inflation_data_inventory.md.</t>
        </is>
      </c>
    </row>
    <row r="114" ht="139.05" customHeight="1">
      <c r="A114" s="3" t="inlineStr">
        <is>
          <t>Fiscal Policy</t>
        </is>
      </c>
      <c r="B114" s="3" t="inlineStr">
        <is>
          <t>Data</t>
        </is>
      </c>
      <c r="C114" s="3" t="inlineStr">
        <is>
          <t>1. Public debt stock</t>
        </is>
      </c>
      <c r="D114" s="3" t="n"/>
      <c r="E114" s="3" t="inlineStr">
        <is>
          <t>All four confirmed live against the BCB SGS API (2026-07), current through May 2026. This is the single most foundational gap in this inventory — bibliography cluster 1 (debt sustainability arithmetic) and cluster 4 (debt intolerance) are both unusable for Brazil without a debt-stock series, and monetary policy's, inflation's, and economic activity's inventories all already list "a primary-balance/debt-trajectory signal" as a Tier 2 dependency on this agent.
Gap within the gap: DBGG (gross) and DLSP (net) are conceptually different and shouldn't be used interchangeably — gross debt doesn't net out financial assets (like BCB's own international reserves) the way net debt does, and international debt-sustainability comparisons (including Reinhart-Rogoff-Savastano's debt-intolerance thresholds, bibliography cluster 4) are usually framed in gross terms while Brazil's own domestic commentary has historically emphasized net debt — both should be ingested rather than picking one.</t>
        </is>
      </c>
    </row>
    <row r="115" ht="154.05" customHeight="1">
      <c r="A115" s="3" t="inlineStr">
        <is>
          <t>Fiscal Policy</t>
        </is>
      </c>
      <c r="B115" s="3" t="inlineStr">
        <is>
          <t>Data</t>
        </is>
      </c>
      <c r="C115" s="3" t="inlineStr">
        <is>
          <t>2. Fiscal balance (primary and nominal result)</t>
        </is>
      </c>
      <c r="D115" s="3" t="n"/>
      <c r="E115" s="3" t="inlineStr">
        <is>
          <t>All three confirmed live (2026-07). "NFSP" = Necessidades de Financiamento do Setor Público, BCB's own public-sector-borrowing-requirement framework — "sem desvalorização cambial" means the exchange-rate-valuation effect on FX-denominated debt is stripped out, giving a cleaner read on the actual fiscal effort rather than a currency-move artifact.
Gap within the gap: BCB's "setor público consolidado" (consolidated public sector, the scope of all series above) bundles federal government, states, municipalities, and state-owned enterprises together — there is no breakdown by government level in what's ingested so far, which matters directly for bibliography cluster 6 (subnational federalism). Separately, Tesouro Nacional's own monthly "Resultado do Tesouro Nacional" and "Resultado Primário do Governo Central" releases are methodologically distinct from BCB's SGS figures (different institutional scope — central government only, not the full consolidated public sector) and are the more commonly-cited headline number in Brazilian financial-press coverage; whether Tesouro publishes this as its own SGS-accessible series or only via its own portal (Tesouro Transparente) wasn't confirmed in this pass.</t>
        </is>
      </c>
    </row>
    <row r="116" ht="109.05" customHeight="1">
      <c r="A116" s="3" t="inlineStr">
        <is>
          <t>Fiscal Policy</t>
        </is>
      </c>
      <c r="B116" s="3" t="inlineStr">
        <is>
          <t>Data</t>
        </is>
      </c>
      <c r="C116" s="3" t="inlineStr">
        <is>
          <t>3. Government revenue and expenditure breakdown</t>
        </is>
      </c>
      <c r="D116" s="3" t="inlineStr">
        <is>
          <t>GAP, no codes identified yet</t>
        </is>
      </c>
      <c r="E116" s="3" t="inlineStr">
        <is>
          <t>No series for tax revenue (by type — IRPF, IRPJ, COFINS, ICMS et al.) or expenditure (by function — Previdência, saúde, educação, custeio vs. investimento) was identified in this pass. This is a materially bigger gap than §1-§2: debt and the aggregate balance answer "how much and is it rising," but nothing here yet answers "why" — which specific revenue or spending line is driving a given month's fiscal outcome.
Possible source: likely Tesouro Nacional's own RREO (Relatório Resumido de Execução Orçamentária, monthly-ish) and RGF (Relatório de Gestão Fiscal, quarterly) releases, or the SIAFI/Tesouro Transparente portal directly — none of these were investigated for API accessibility in this pass, unlike the SGS-based series in §1-§2 which are confirmed straightforward.</t>
        </is>
      </c>
    </row>
    <row r="117" ht="79.05" customHeight="1">
      <c r="A117" s="3" t="inlineStr">
        <is>
          <t>Fiscal Policy</t>
        </is>
      </c>
      <c r="B117" s="3" t="inlineStr">
        <is>
          <t>Data</t>
        </is>
      </c>
      <c r="C117" s="3" t="inlineStr">
        <is>
          <t>4. Pension/social security balance (RGPS deficit)</t>
        </is>
      </c>
      <c r="D117" s="3" t="inlineStr">
        <is>
          <t>GAP</t>
        </is>
      </c>
      <c r="E117" s="3" t="inlineStr">
        <is>
          <t>Bibliography cluster 5 identifies pension spending as the dominant driver of Brazil's structural primary-spending growth, but no series specifically isolating the RGPS (Regime Geral de Previdência Social) actuarial or cash-flow deficit was identified or confirmed via SGS in this pass — this would sit inside §3's broader expenditure-by-function breakdown rather than as its own standalone series, but is flagged separately given how load-bearing it is for reading EC 103/2019's (2019 pension reform) actual realized effect, the same open gap already flagged in the bibliography file itself.</t>
        </is>
      </c>
    </row>
    <row r="118" ht="184.05" customHeight="1">
      <c r="A118" s="3" t="inlineStr">
        <is>
          <t>Fiscal Policy</t>
        </is>
      </c>
      <c r="B118" s="3" t="inlineStr">
        <is>
          <t>Data</t>
        </is>
      </c>
      <c r="C118" s="3" t="inlineStr">
        <is>
          <t>5. Fiscal rule compliance metrics (Teto de Gastos / Novo Arcabouço Fiscal)</t>
        </is>
      </c>
      <c r="D118" s="3" t="inlineStr">
        <is>
          <t>GAP, likely a small lookup table rather than an SGS series</t>
        </is>
      </c>
      <c r="E118" s="3" t="inlineStr">
        <is>
          <t>Neither the historical Teto de Gastos (EC 95/2016) ceiling levels nor the current Novo Arcabouço Fiscal's (LC 200/2023) expense-growth band (0.6%-2.5% real) and annually-set primary-result target (set via the LDO, per bibliography cluster 3) are tracked anywhere. Unlike §1-§2, this is very unlikely to be an SGS series — it's a small number of administratively-set parameters that change on a predictable (annual, for the LDO target) or rare (constitutional-amendment-level, for a rule replacement) cadence.
Recommended approach: a small lookup table — (ano, meta_resultado_primario, banda_crescimento_despesa_min, banda_crescimento_despesa_max, regra_vigente) — maintained by periodically checking the LDO and any rule amendments, the same "small, slow-moving, cheap once someone owns it" pattern already used for the proposed inflation-target-parameters table in monetary_policy_data_inventory.md §6 and the proposed minimum-wage table in labor_market_data_inventory.md §7.
Why this matters beyond bookkeeping: without it, the agent can report the primary result (§2) but can't say whether it's compliant with the rule currently in force — the entire point of a fiscal rule, per bibliography cluster 3's Kopits &amp; Symansky framework, is that it's a benchmark to be measured against, not just a number to report in isolation.</t>
        </is>
      </c>
    </row>
    <row r="119" ht="109.05" customHeight="1">
      <c r="A119" s="3" t="inlineStr">
        <is>
          <t>Fiscal Policy</t>
        </is>
      </c>
      <c r="B119" s="3" t="inlineStr">
        <is>
          <t>Data</t>
        </is>
      </c>
      <c r="C119" s="3" t="inlineStr">
        <is>
          <t>6. Subnational (states and municipalities) debt and fiscal result</t>
        </is>
      </c>
      <c r="D119" s="3" t="inlineStr">
        <is>
          <t>GAP</t>
        </is>
      </c>
      <c r="E119" s="3" t="inlineStr">
        <is>
          <t>Bibliography cluster 6 (federalism/subnational debt, built around Rodden's Hamilton's Paradox) has no matching data — §1-§2's series are all consolidated-public-sector aggregates with no state/municipality-level breakdown. Given Rio de Janeiro's 2016-17 fiscal crisis is one of the bibliography's own flagged open gaps (a citation, not just data), this is a case where the literature and data gaps reinforce each other and are worth closing together.
Possible source: BCB SGS does publish some subnational-level debt series (state-level DLSP breakdowns) — not confirmed via live check in this pass, unlike §1-§2; STN (Secretaria do Tesouro Nacional) also publishes state-level fiscal data directly. Needs a dedicated verification pass before building.</t>
        </is>
      </c>
    </row>
    <row r="120" ht="79.05" customHeight="1">
      <c r="A120" s="3" t="inlineStr">
        <is>
          <t>Fiscal Policy</t>
        </is>
      </c>
      <c r="B120" s="3" t="inlineStr">
        <is>
          <t>Data</t>
        </is>
      </c>
      <c r="C120" s="3" t="inlineStr">
        <is>
          <t>7. Minimum wage and Previdência indexation</t>
        </is>
      </c>
      <c r="D120" s="3" t="inlineStr">
        <is>
          <t>owned elsewhere, cross-referenced here</t>
        </is>
      </c>
      <c r="E120" s="3" t="inlineStr">
        <is>
          <t>Already flagged as a gap from the labor market side in labor_market_data_inventory.md §7 (no series exists at all) — restated here only because the fiscal consequence of the minimum wage (its role as the indexing floor for Previdência and BPC benefit payments, bibliography cluster 6's Brazil relevance note) is this agent's concern even though the series itself would be owned by labor market, mirroring how inflation_data_inventory.md and economic_activity_data_inventory.md both reference mt_pnad from their own angle without owning it.</t>
        </is>
      </c>
    </row>
    <row r="121" ht="79.05" customHeight="1">
      <c r="A121" s="3" t="inlineStr">
        <is>
          <t>Fiscal Policy</t>
        </is>
      </c>
      <c r="B121" s="3" t="inlineStr">
        <is>
          <t>Data</t>
        </is>
      </c>
      <c r="C121" s="3" t="inlineStr">
        <is>
          <t>Tier 2 — How to update this inventory</t>
        </is>
      </c>
      <c r="D121" s="3" t="n"/>
      <c r="E121" s="3" t="inlineStr">
        <is>
          <t>Tier 1: this entire section starts as a build-out plan, not a documentation of existing tables — as each script gets built (e.g. domain/db/brasil/bcb/divida_publica.py, domain/db/brasil/bcb/resultado_fiscal.py), move its description from "recommended" language to the same "what we have" framing used in the other four inventories, and remove the corresponding gap-summary row.
Tier 2: when economic activity's output-gap gap closes, or an exchange-rate risk-premium series gets built, replace the placeholder bullets here with the actual table/column references, mirroring the convention in the other four inventories.</t>
        </is>
      </c>
    </row>
    <row r="122" ht="139.05" customHeight="1">
      <c r="A122" s="3" t="inlineStr">
        <is>
          <t>Inflation</t>
        </is>
      </c>
      <c r="B122" s="3" t="inlineStr">
        <is>
          <t>Data</t>
        </is>
      </c>
      <c r="C122" s="3" t="inlineStr">
        <is>
          <t>1. Headline and disaggregated IPCA</t>
        </is>
      </c>
      <c r="D122" s="3" t="n"/>
      <c r="E122" s="3" t="inlineStr">
        <is>
          <t>Script: domain/db/brasil/bcb/inflc_agregados.py. Coverage per CLAUDE.md: 1980 → today for headline, though the core-measure and component series individually start later (each SGS code has its own inception date — not verified series-by-series here).
This is the single richest owned dataset across any LIS agent's inventory so far — 28 series spanning headline, administered/free split, sectoral/expenditure breakdown, and 8 distinct core methodologies, with no equivalent depth yet in the exchange rate or monetary policy inventories.
Gaps — verified against Banco Central do Brasil, Nota Técnica nº 57 (December 2025), "Núcleos de inflação e outras séries analíticas derivadas do IPCA: metodologia consolidada" (the current, authoritative SGS code reference — this note should be added to the bibliography's cluster 6 alongside da Gama Machado 2024, WP 602, which it postdates and supersedes for code-level detail):</t>
        </is>
      </c>
    </row>
    <row r="123" ht="154.05" customHeight="1">
      <c r="A123" s="3" t="inlineStr">
        <is>
          <t>Inflation</t>
        </is>
      </c>
      <c r="B123" s="3" t="inlineStr">
        <is>
          <t>Data</t>
        </is>
      </c>
      <c r="C123" s="3" t="inlineStr">
        <is>
          <t>2. IPCA sub-item detail (diffusion/breadth decomposition)</t>
        </is>
      </c>
      <c r="D123" s="3" t="inlineStr">
        <is>
          <t>WIP, not production</t>
        </is>
      </c>
      <c r="E123" s="3" t="inlineStr">
        <is>
          <t>This is conceptually distinct from IPCA_indice_difusao in §1 — the SGS series is BCB's own single summary diffusion statistic (% of items rising), while aggregado 7060 is the underlying item-level granularity needed to compute your own breadth/diffusion measures, replicate a Coibion-Gorodnichenko-style decomposition, or identify which specific sub-items are driving a given month's surprise.
Blockers to production: script still uses the old ibge_get(url, start, end, freq) connector rather than the current connectors/ibge.py v3 client; no schema defined yet; classification-code list (315[...]) hardcoded as a raw URL rather than passed as a parameter.
Impact if left unbuilt: the agent can say "diffusion is rising" (from the one SGS series) but not "diffusion is rising, driven specifically by services ex-education" — a materially weaker read during exactly the kind of episode (broad-based vs. narrow/idiosyncratic price pressure) the diffusion literature is meant to distinguish.</t>
        </is>
      </c>
    </row>
    <row r="124" ht="214.05" customHeight="1">
      <c r="A124" s="3" t="inlineStr">
        <is>
          <t>Inflation</t>
        </is>
      </c>
      <c r="B124" s="3" t="inlineStr">
        <is>
          <t>Data</t>
        </is>
      </c>
      <c r="C124" s="3" t="inlineStr">
        <is>
          <t>2a. Labor-intensive services inflation ("serviços intensivos em trabalho")</t>
        </is>
      </c>
      <c r="D124" s="3" t="inlineStr">
        <is>
          <t>GAP, bespoke methodology, not an SGS series</t>
        </is>
      </c>
      <c r="E124" s="3" t="inlineStr">
        <is>
          <t>BCB's Monetary Policy Report has, in recent years, tracked services inflation reweighted by labor intensity as a direct gauge of domestic demand/labor-market pressure on prices — conceptually the Brazilian analogue to the "supercore services" framing that became prominent in the 2022-23 U.S. debate. This is not published as a standalone SGS series — confirmed by checking BCB's own Nota Técnica nº 57 (Dec 2025), which consolidates every IPCA-derived analytical series BCB currently publishes via SGS and does not include it. Its methodology instead appears only in two Relatório de Política Monetária boxes: "Inflação de serviços reponderada por fatores de produção" and "Dinâmica recente da inflação de serviços," both June 2024.
Impact: the agent cannot currently reproduce or track this metric at all — it would need to be built from scratch, by reweighting the item-level services components of the IPCA by their labor intensity (a production-factor classification, not a standard IBGE weight). This is a natural extension of, and blocked by the same prerequisite as, §2 above: it requires the same item-level detail (IBGE aggregado 7060) that subcomponents.py targets but hasn't reached production. Building §2 first would make this a realistic follow-on rather than a separate research project.
Possible source for the labor-intensity classification itself: not yet identified — would need to trace how the June 2024 RPM boxes define "labor-intensive" at the item level (likely IBGE's own value-added/production-factor tables, or a BCB-internal mapping); worth extracting directly from the two RPM boxes once prioritized.</t>
        </is>
      </c>
    </row>
    <row r="125" ht="244.05" customHeight="1">
      <c r="A125" s="3" t="inlineStr">
        <is>
          <t>Inflation</t>
        </is>
      </c>
      <c r="B125" s="3" t="inlineStr">
        <is>
          <t>Data</t>
        </is>
      </c>
      <c r="C125" s="3" t="inlineStr">
        <is>
          <t>2b. Full services-inflation sub-decomposition family (June 2024 RPM boxes)</t>
        </is>
      </c>
      <c r="D125" s="3" t="inlineStr">
        <is>
          <t>DEFERRED, needs dedicated analytical work before any DB implementation</t>
        </is>
      </c>
      <c r="E125" s="3" t="inlineStr">
        <is>
          <t>Kept as its own box, separate from §2a, because this is materially bigger than "add one missing series." Reading both June 2024 boxes in full ("Dinâmica Recente da Inflação de Serviços" and "Inflação de Serviços Reponderada por Fatores de Produção," Relatório de Inflação, Volume 26, Nº 2, June 2024, pp. 56-65) surfaces 12 distinct series across two unrelated methodologies, none of them in SGS (confirmed against NT 57) and none reducible to a simple ingestion task — each requires its own sourcing and, in one case, an entirely new data source not used anywhere else in the LIS pipeline. Recorded here in full so the scope is visible before anyone starts implementation, rather than discovering the size of the task mid-build.
Methodology 1 — simple exclusion/grouping cuts of IPCA services sub-items (from "Dinâmica Recente da Inflação de Serviços"):
All six are also presented as 3-month seasonally-adjusted annualized rates (MM3M a.s.) alongside the standard 12-month change — a transformation inflc_agregados.py doesn't compute for any series today (it stores raw index levels only), which is itself a prerequisite piece of work independent of sourcing the underlying series.
Methodology 2 — production-factor reweighting via national accounts input-output data (from "Inflação de Serviços Reponderada por Fatores de Produção," a genuinely new approach, not a refinement of Methodology 1): each IPCA services sub-item is mapped to an economic activity in IBGE's Tabela de Recursos e Usos (TRU — national accounts input-output tables), and reweighted by that activity's 2010-2019 average factor share of production. This produces five subindices that partition "Serviços ex-passagem aérea":
Why this needs dedicated analytical work, not just a new connector:</t>
        </is>
      </c>
    </row>
    <row r="126" ht="79.05" customHeight="1">
      <c r="A126" s="3" t="inlineStr">
        <is>
          <t>Inflation</t>
        </is>
      </c>
      <c r="B126" s="3" t="inlineStr">
        <is>
          <t>Data</t>
        </is>
      </c>
      <c r="C126" s="3" t="inlineStr">
        <is>
          <t>3. Inflation expectations (Focus survey)</t>
        </is>
      </c>
      <c r="D126" s="3" t="n"/>
      <c r="E126" s="3" t="inlineStr">
        <is>
          <t>Script: domain/db/brasil/bcb/expc_focus.py. Same underlying table monetary policy's inventory documents for the Selic side — for inflation, the load-bearing columns are different: DesvioPadrao and the respondent count are already captured, which means the dispersion/anchoring measures central to cluster 2 (Gaglianone 2017, Bevilaqua-Mesquita-Minella 2007) are computable today without any new data work — this is a materially better position than monetary policy's own r*/neutral-rate gap.
Gaps:</t>
        </is>
      </c>
    </row>
    <row r="127" ht="109.05" customHeight="1">
      <c r="A127" s="3" t="inlineStr">
        <is>
          <t>Inflation</t>
        </is>
      </c>
      <c r="B127" s="3" t="inlineStr">
        <is>
          <t>Data</t>
        </is>
      </c>
      <c r="C127" s="3" t="inlineStr">
        <is>
          <t>4. Wholesale/general price index (IGP-M, IGP-DI)</t>
        </is>
      </c>
      <c r="D127" s="3" t="inlineStr">
        <is>
          <t>GAP</t>
        </is>
      </c>
      <c r="E127" s="3" t="inlineStr">
        <is>
          <t>No realized IGP-M or IGP-DI series is stored anywhere in the database — only the Focus expectation for IGP-M (§3). This matters specifically for Brazil's indexation cluster (bibliography cluster 4/8): a meaningful share of rent contracts, some regulated tariffs, and a handful of financial contracts are still indexed to IGP-M rather than IPCA, so a gap between the two series is itself a live signal of relative price pressure (commodities/wholesale vs. retail) with direct pass-through implications for future IPCA-administered-price readings.
Possible source: FGV (IBRE) publishes IGP-M/IGP-DI directly — not a BCB SGS series, so this would need a new connector rather than reusing connectors/bcb.py. Not yet scoped.</t>
        </is>
      </c>
    </row>
    <row r="128" ht="94.05" customHeight="1">
      <c r="A128" s="3" t="inlineStr">
        <is>
          <t>Inflation</t>
        </is>
      </c>
      <c r="B128" s="3" t="inlineStr">
        <is>
          <t>Data</t>
        </is>
      </c>
      <c r="C128" s="3" t="inlineStr">
        <is>
          <t>5. Producer prices (IPP</t>
        </is>
      </c>
      <c r="D128" s="3" t="inlineStr">
        <is>
          <t>Índice de Preços ao Produtor) — GAP</t>
        </is>
      </c>
      <c r="E128" s="3" t="inlineStr">
        <is>
          <t>No producer/wholesale price index from IBGE is ingested. This is the standard upstream-pressure series in the cost-push cluster (bibliography cluster 3) — a rise in producer prices ahead of a rise in consumer prices is a classic early-warning read on pipeline inflation pressure that the agent cannot currently form, since it only has the CPI (IPCA) side of the pass-through chain.
Possible source: IBGE SIDRA aggregado for IPP (exact aggregado number not confirmed) — could reuse connectors/ibge.py v3 client once identified.</t>
        </is>
      </c>
    </row>
    <row r="129" ht="79.05" customHeight="1">
      <c r="A129" s="3" t="inlineStr">
        <is>
          <t>Inflation</t>
        </is>
      </c>
      <c r="B129" s="3" t="inlineStr">
        <is>
          <t>Data</t>
        </is>
      </c>
      <c r="C129" s="3" t="inlineStr">
        <is>
          <t>6. Wage and labor-cost data</t>
        </is>
      </c>
      <c r="D129" s="3" t="inlineStr">
        <is>
          <t>usable today, but owned by another domain</t>
        </is>
      </c>
      <c r="E129" s="3" t="inlineStr">
        <is>
          <t>Script: domain/db/brasil/ibge/mt_pnad.py. This table is conceptually "owned" by a future activity/labor agent, but the specific wage-growth series are already sitting in the database today and don't require any new ingestion work for the inflation agent to start using them.
Gap: no unit labor cost measure (wage growth relative to productivity) — would need a productivity proxy (e.g. GDP/atv_pib table vs. hours worked from mt_pnad) combined manually; nothing computes this today.</t>
        </is>
      </c>
    </row>
    <row r="130" ht="199.05" customHeight="1">
      <c r="A130" s="3" t="inlineStr">
        <is>
          <t>Inflation</t>
        </is>
      </c>
      <c r="B130" s="3" t="inlineStr">
        <is>
          <t>Data</t>
        </is>
      </c>
      <c r="C130" s="3" t="inlineStr">
        <is>
          <t>7. International comparison: Latin America and developed-market inflation (headline and core)</t>
        </is>
      </c>
      <c r="D130" s="3" t="inlineStr">
        <is>
          <t>GAP, new category</t>
        </is>
      </c>
      <c r="E130" s="3" t="inlineStr">
        <is>
          <t>No cross-country inflation series exists anywhere in the database today — headline or core, Latin America or developed markets — beyond the one ad hoc byproduct noted below. This is a real gap for reading Brazil's inflation relative to peers: is a given disinflation episode BCB-specific (credibility, Selic path) or part of a broader regional/global wave (global slack, commodity cycle, per bibliography cluster 1's Borio-Filardo argument)?
This is the only existing cross-country inflation data point, and it's a byproduct of the FRED differentials script rather than a dedicated inflation table — limited to a ~36-month rolling window, same gap already flagged in the exchange rate and monetary policy inventories. See CLAUDE.md's "US — expandir dados" pending item (no persistent macro_us schema yet).
Possible source, no new connector needed: FRED's OECD Main Economic Indicators dataset carries harmonized headline and core (ex food &amp; energy) CPI, year-over-year, for essentially every relevant peer — reusable directly via the existing connectors/fred.py (FredMultFrame) client already used for diferenciais_juros. Suggested peer set:
Where it should live: macro_international alongside cmb_reer and cmb_cot_fx, not macro_brasil — this is fundamentally cross-country data, not a Brazil series, and reusing that schema keeps the LatAm peer set consistent with what the REER table already tracks.</t>
        </is>
      </c>
    </row>
    <row r="131" ht="94.05" customHeight="1">
      <c r="A131" s="3" t="inlineStr">
        <is>
          <t>Inflation</t>
        </is>
      </c>
      <c r="B131" s="3" t="inlineStr">
        <is>
          <t>Data</t>
        </is>
      </c>
      <c r="C131" s="3" t="inlineStr">
        <is>
          <t>Tier 2 — How to update this inventory</t>
        </is>
      </c>
      <c r="D131" s="3" t="n"/>
      <c r="E131" s="3" t="inlineStr">
        <is>
          <t>Tier 1: when a new owned table/series is built (e.g. IPCA sub-item detail moves from WIP to production, an IGP-M or IPP connector is added), update the relevant section and remove/adjust the corresponding gap-summary row.
Tier 2: when a new specialist agent (activity/labor, fiscal, exchange rate's remaining gaps, or a global/markets agent) gets scoped, replace its placeholder bullet list with the actual table/column references that agent produces, the same way Tier 1 entries are documented — and note the hand-off format once that's decided, mirroring the convention in monetary_policy_data_inventory.md.</t>
        </is>
      </c>
    </row>
    <row r="132" ht="109.05" customHeight="1">
      <c r="A132" s="3" t="inlineStr">
        <is>
          <t>Labor Market</t>
        </is>
      </c>
      <c r="B132" s="3" t="inlineStr">
        <is>
          <t>Data</t>
        </is>
      </c>
      <c r="C132" s="3" t="inlineStr">
        <is>
          <t>1. Labor force condition and unemployment (PNAD Contínua)</t>
        </is>
      </c>
      <c r="D132" s="3" t="n"/>
      <c r="E132" s="3" t="inlineStr">
        <is>
          <t>Script: domain/db/brasil/ibge/mt_pnad.py. IBGE aggregado 6318. Coverage per CLAUDE.md: 2024 → today — driven by the script's years_back=2 default; PNAD Contínua's actual series starts in 2012, so this is the same "short default window, deeper source available" pattern flagged repeatedly in the other three inventories (diferenciais_juros, atv_pmc/atv_pms).
Structural limitation, not a pipeline gap: the script hardcodes region = "Brasil" (IBGE locality N1, national level only) — no state or metro-region breakdown exists. This isn't just a missing convenience: Blanchflower &amp; Oswald's wage curve (cluster 5) is fundamentally a cross-region empirical relationship, and can't be tested or replicated for Brazil at all without sub-national unemployment and wage data. This is the single highest-value structural extension identified in this inventory.</t>
        </is>
      </c>
    </row>
    <row r="133" ht="49.05" customHeight="1">
      <c r="A133" s="3" t="inlineStr">
        <is>
          <t>Labor Market</t>
        </is>
      </c>
      <c r="B133" s="3" t="inlineStr">
        <is>
          <t>Data</t>
        </is>
      </c>
      <c r="C133" s="3" t="inlineStr">
        <is>
          <t>2. Formal/informal employment split (PNAD Contínua, by occupational position)</t>
        </is>
      </c>
      <c r="D133" s="3" t="n"/>
      <c r="E133" s="3" t="inlineStr">
        <is>
          <t>This is a genuinely strong existing asset — no new ingestion is needed to start computing a headline informality rate (informal occupied / total occupied); the underlying components are already there, just not combined into a single derived series. Flagged as a gap below (§6) precisely because it's cheap to close.</t>
        </is>
      </c>
    </row>
    <row r="134" ht="49.05" customHeight="1">
      <c r="A134" s="3" t="inlineStr">
        <is>
          <t>Labor Market</t>
        </is>
      </c>
      <c r="B134" s="3" t="inlineStr">
        <is>
          <t>Data</t>
        </is>
      </c>
      <c r="C134" s="3" t="inlineStr">
        <is>
          <t>3. Wages and income (PNAD Contínua)</t>
        </is>
      </c>
      <c r="D134" s="3" t="n"/>
      <c r="E134" s="3" t="inlineStr">
        <is>
          <t>This is the data underlying Borges (2022)'s NAWRU methodology (bibliography cluster 3) — a wage-focused Phillips curve needs exactly this kind of wage series matched against unemployment (§1). No unit-labor-cost series is computed from it yet (same gap already flagged in inflation_data_inventory.md §6, restated here since this agent now owns the underlying series).</t>
        </is>
      </c>
    </row>
    <row r="135" ht="94.05" customHeight="1">
      <c r="A135" s="3" t="inlineStr">
        <is>
          <t>Labor Market</t>
        </is>
      </c>
      <c r="B135" s="3" t="inlineStr">
        <is>
          <t>Data</t>
        </is>
      </c>
      <c r="C135" s="3" t="inlineStr">
        <is>
          <t>4. Formal employment flow (CAGED)</t>
        </is>
      </c>
      <c r="D135" s="3" t="n"/>
      <c r="E135" s="3" t="inlineStr">
        <is>
          <t>BCB SGS (14 series). The administrative-registry complement to PNAD's household survey — CAGED only captures formal employment (it's built from the employer registry itself) and is typically released faster than PNAD, making it the more timely leading signal for formal job creation specifically, at the cost of missing the informal side entirely (which only PNAD, §2, can see).
Gap: same short-default-window pattern as §1 — n_meses=24 default vs. a genuinely deep 1992+ source; a full backfill (start="all") would materially extend this table's usefulness for any cycle-length or structural-break analysis (e.g. around the 2017 labor reform).</t>
        </is>
      </c>
    </row>
    <row r="136" ht="124.05" customHeight="1">
      <c r="A136" s="3" t="inlineStr">
        <is>
          <t>Labor Market</t>
        </is>
      </c>
      <c r="B136" s="3" t="inlineStr">
        <is>
          <t>Data</t>
        </is>
      </c>
      <c r="C136" s="3" t="inlineStr">
        <is>
          <t>5. Vacancy data (for the Beveridge curve)</t>
        </is>
      </c>
      <c r="D136" s="3" t="inlineStr">
        <is>
          <t>GAP, may not exist as public data at all</t>
        </is>
      </c>
      <c r="E136" s="3" t="inlineStr">
        <is>
          <t>Bibliography cluster 2's Beveridge curve requires both unemployment (§1, already owned) and a vacancy/job-openings series — Brazil has no official equivalent to the US JOLTS survey. This is flagged distinctly from the other gaps in this inventory because it may be a genuine data-availability gap, not just an ingestion backlog.
Possible proxies, none verified yet:
Impact if unresolved: any Beveridge curve constructed for Brazil would need to rely on one of the imperfect proxies above, or forgo the vacancy axis and use CAGED admissions/dismissals gross flows as a job-creation/job-destruction proxy instead (mirroring Mortensen &amp; Pissarides 1994's framework, bibliography cluster 1, more than the Blanchard-Diamond 1989 unemployment-vacancy framing specifically).</t>
        </is>
      </c>
    </row>
    <row r="137" ht="34.05" customHeight="1">
      <c r="A137" s="3" t="inlineStr">
        <is>
          <t>Labor Market</t>
        </is>
      </c>
      <c r="B137" s="3" t="inlineStr">
        <is>
          <t>Data</t>
        </is>
      </c>
      <c r="C137" s="3" t="inlineStr">
        <is>
          <t>6. Derived series not yet computed from existing owned data</t>
        </is>
      </c>
      <c r="D137" s="3" t="n"/>
      <c r="E137" s="3" t="inlineStr">
        <is>
          <t>Distinct from §5 above — these don't require any new source, only computation against data already sitting in mt_pnad/mt_caged:</t>
        </is>
      </c>
    </row>
    <row r="138" ht="124.05" customHeight="1">
      <c r="A138" s="3" t="inlineStr">
        <is>
          <t>Labor Market</t>
        </is>
      </c>
      <c r="B138" s="3" t="inlineStr">
        <is>
          <t>Data</t>
        </is>
      </c>
      <c r="C138" s="3" t="inlineStr">
        <is>
          <t>7. Minimum wage (salário mínimo)</t>
        </is>
      </c>
      <c r="D138" s="3" t="inlineStr">
        <is>
          <t>GAP, surprising given its institutional weight</t>
        </is>
      </c>
      <c r="E138" s="3" t="inlineStr">
        <is>
          <t>No series for the minimum wage itself exists anywhere in the database. This is a small, slow-moving, single-number series (updated annually, occasionally more often historically) — genuinely cheap to build — but its absence is notable given bibliography cluster 6's point that Brazil's minimum wage is unusually consequential: it's simultaneously a labor-market price floor and the indexing base for a large share of pension (Previdência) and social-benefit (BPC) payments, entangling its labor-market and fiscal effects more than in most economies.
Possible source: likely a short, static lookup table (by effective date) rather than an API-driven series — similar in spirit to the inflation-target-parameters gap already flagged in monetary_policy_data_inventory.md §6 (small, slow-moving, easy once someone owns building it).</t>
        </is>
      </c>
    </row>
    <row r="139" ht="94.05" customHeight="1">
      <c r="A139" s="3" t="inlineStr">
        <is>
          <t>Labor Market</t>
        </is>
      </c>
      <c r="B139" s="3" t="inlineStr">
        <is>
          <t>Data</t>
        </is>
      </c>
      <c r="C139" s="3" t="inlineStr">
        <is>
          <t>8. Unionization rate</t>
        </is>
      </c>
      <c r="D139" s="3" t="inlineStr">
        <is>
          <t>GAP</t>
        </is>
      </c>
      <c r="E139" s="3" t="inlineStr">
        <is>
          <t>Borges (2022)'s NAWRU methodology (bibliography cluster 3) explicitly uses taxa de sindicalização as a structural control variable — no such series exists in the database. IBGE's PNAD (both the older annual PNAD and the current PNAD Contínua, via its supplementary/annual modules) does ask about union membership, but it isn't currently among the aggregados the local mt_pnad.py script queries.
Possible source: likely a specific IBGE PNAD Contínua supplementary-module aggregado (annual, not the core quarterly release) — not yet identified/confirmed.</t>
        </is>
      </c>
    </row>
    <row r="140" ht="19.05" customHeight="1">
      <c r="A140" s="3" t="inlineStr">
        <is>
          <t>Labor Market</t>
        </is>
      </c>
      <c r="B140" s="3" t="inlineStr">
        <is>
          <t>Data</t>
        </is>
      </c>
      <c r="C140" s="3" t="inlineStr">
        <is>
          <t>Tier 2</t>
        </is>
      </c>
      <c r="D140" s="3" t="n"/>
      <c r="E140" s="3" t="inlineStr">
        <is>
          <t>Thin, for the same reason as inflation's inventory: this agent mostly supplies rather than consumes.</t>
        </is>
      </c>
    </row>
    <row r="141" ht="64.05" customHeight="1">
      <c r="A141" s="3" t="inlineStr">
        <is>
          <t>Labor Market</t>
        </is>
      </c>
      <c r="B141" s="3" t="inlineStr">
        <is>
          <t>Data</t>
        </is>
      </c>
      <c r="C141" s="3" t="inlineStr">
        <is>
          <t>Tier 2 — How to update this inventory</t>
        </is>
      </c>
      <c r="D141" s="3" t="n"/>
      <c r="E141" s="3" t="inlineStr">
        <is>
          <t>Tier 1: when a new owned table/series is built (a minimum wage lookup table, a computed informality/unemployment rate, a NAWRU estimate, a regional PNAD extension), update the relevant section and remove/adjust the corresponding gap-summary row.
Tier 2: when economic activity's productivity work matures or a fiscal agent gets scoped, replace the placeholder bullets with actual table/column references, mirroring the convention in the other three inventories.</t>
        </is>
      </c>
    </row>
    <row r="142">
      <c r="A142" s="51" t="inlineStr">
        <is>
          <t>Trader</t>
        </is>
      </c>
      <c r="B142" s="51" t="inlineStr">
        <is>
          <t>Literature</t>
        </is>
      </c>
      <c r="C142" s="52" t="inlineStr">
        <is>
          <t>(whole area)</t>
        </is>
      </c>
      <c r="D142" s="52" t="inlineStr">
        <is>
          <t>Scope</t>
        </is>
      </c>
      <c r="E142" s="52" t="inlineStr">
        <is>
          <t>Literature of a new trader agent (decided 2026-10-20), not a topical pillar: how macro views become trades. Two practitioner books by the same lead author, read as one list: Trading Global Macro Markets (Willer &amp; Saunders, 2024; chapters 2-16 here, chapter 1 is not) and Trading Fixed Income and FX in Emerging Markets (Willer, Chandran &amp; Lam, 2020; chapters 1-11). The 2024 book is the global cross-asset playbook; the 2020 book is the EM rates/FX/credit layer, the closer one to Brazil. Clusters are by asset class, since that is how both books are organized. Role and design of the agent: to be defined (SISTEMA_AGENTES.md I.II.vii).</t>
        </is>
      </c>
    </row>
    <row r="143">
      <c r="A143" s="51" t="inlineStr">
        <is>
          <t>Trader</t>
        </is>
      </c>
      <c r="B143" s="51" t="inlineStr">
        <is>
          <t>Literature</t>
        </is>
      </c>
      <c r="C143" s="52" t="inlineStr">
        <is>
          <t>(whole area)</t>
        </is>
      </c>
      <c r="D143" s="52" t="inlineStr">
        <is>
          <t>Where the base is thin</t>
        </is>
      </c>
      <c r="E143" s="52" t="inlineStr">
        <is>
          <t>Single-author-team base: every source is Willer et al., so the agent would inherit one house view (empirical event studies on US data, extended to EM). No Brazil-specific trading literature, no options/volatility trading, no positioning/flows source beyond a few sections. Worth widening before the agent's frameworks are fixed.</t>
        </is>
      </c>
    </row>
    <row r="144">
      <c r="A144" s="51" t="inlineStr">
        <is>
          <t>Trader</t>
        </is>
      </c>
      <c r="B144" s="51" t="inlineStr">
        <is>
          <t>Literature</t>
        </is>
      </c>
      <c r="C144" s="52" t="inlineStr">
        <is>
          <t>#macro_trading_framework</t>
        </is>
      </c>
      <c r="D144" s="52" t="inlineStr">
        <is>
          <t>What global macro is and the master signal</t>
        </is>
      </c>
      <c r="E144" s="52" t="inlineStr">
        <is>
          <t>How macro funds make money, the global-vs-local split of EM returns (65/35), the business cycle as the master signal, and geopolitical/election event risk.</t>
        </is>
      </c>
    </row>
    <row r="145">
      <c r="A145" s="51" t="inlineStr">
        <is>
          <t>Trader</t>
        </is>
      </c>
      <c r="B145" s="51" t="inlineStr">
        <is>
          <t>Literature</t>
        </is>
      </c>
      <c r="C145" s="52" t="inlineStr">
        <is>
          <t>#em_landscape</t>
        </is>
      </c>
      <c r="D145" s="52" t="inlineStr">
        <is>
          <t>Why EM, and China</t>
        </is>
      </c>
      <c r="E145" s="52" t="inlineStr">
        <is>
          <t>The EM asset class and its alpha case, China as the driver of the EM/commodity cycle, and big data/ML (peripheral).</t>
        </is>
      </c>
    </row>
    <row r="146">
      <c r="A146" s="51" t="inlineStr">
        <is>
          <t>Trader</t>
        </is>
      </c>
      <c r="B146" s="51" t="inlineStr">
        <is>
          <t>Literature</t>
        </is>
      </c>
      <c r="C146" s="52" t="inlineStr">
        <is>
          <t>#rates</t>
        </is>
      </c>
      <c r="D146" s="52" t="inlineStr">
        <is>
          <t>Trading rates through the policy cycle</t>
        </is>
      </c>
      <c r="E146" s="52" t="inlineStr">
        <is>
          <t>US rates framework, tactics and global spillovers (2024), plus EM rates through the hiking/easing cycle, EM linkers and EM rates events (2020). The closest material to the DI curve and NTN-Bs.</t>
        </is>
      </c>
    </row>
    <row r="147">
      <c r="A147" s="51" t="inlineStr">
        <is>
          <t>Trader</t>
        </is>
      </c>
      <c r="B147" s="51" t="inlineStr">
        <is>
          <t>Literature</t>
        </is>
      </c>
      <c r="C147" s="52" t="inlineStr">
        <is>
          <t>#fx</t>
        </is>
      </c>
      <c r="D147" s="52" t="inlineStr">
        <is>
          <t>Trading FX, G10 and EM</t>
        </is>
      </c>
      <c r="E147" s="52" t="inlineStr">
        <is>
          <t>USD smile and cycle, FX tactics (Fed cycles, intervention, flows, technicals), EMFX drivers and the EMFX event guide (intervention, emergency hikes, capital controls, IMF, elections). Overlaps the exchange-rate agent's topic from the trading side.</t>
        </is>
      </c>
    </row>
    <row r="148">
      <c r="A148" s="51" t="inlineStr">
        <is>
          <t>Trader</t>
        </is>
      </c>
      <c r="B148" s="51" t="inlineStr">
        <is>
          <t>Literature</t>
        </is>
      </c>
      <c r="C148" s="52" t="inlineStr">
        <is>
          <t>#credit</t>
        </is>
      </c>
      <c r="D148" s="52" t="inlineStr">
        <is>
          <t>Credit, DM and EM</t>
        </is>
      </c>
      <c r="E148" s="52" t="inlineStr">
        <is>
          <t>Credit in the cycle and as a recession signal (2024); EM sovereign credit selection, IMF and defaults (2020).</t>
        </is>
      </c>
    </row>
    <row r="149">
      <c r="A149" s="51" t="inlineStr">
        <is>
          <t>Trader</t>
        </is>
      </c>
      <c r="B149" s="51" t="inlineStr">
        <is>
          <t>Literature</t>
        </is>
      </c>
      <c r="C149" s="52" t="inlineStr">
        <is>
          <t>#equities</t>
        </is>
      </c>
      <c r="D149" s="52" t="inlineStr">
        <is>
          <t>Equities in the macro cycle</t>
        </is>
      </c>
      <c r="E149" s="52" t="inlineStr">
        <is>
          <t>Framework (cycle, Fed, earnings, liquidity, bubbles), tactics (peaks, bottoms, positioning, FOMC effect) and non-US markets.</t>
        </is>
      </c>
    </row>
    <row r="150">
      <c r="A150" s="51" t="inlineStr">
        <is>
          <t>Trader</t>
        </is>
      </c>
      <c r="B150" s="51" t="inlineStr">
        <is>
          <t>Literature</t>
        </is>
      </c>
      <c r="C150" s="52" t="inlineStr">
        <is>
          <t>#commodities</t>
        </is>
      </c>
      <c r="D150" s="52" t="inlineStr">
        <is>
          <t>Commodities in the macro cycle</t>
        </is>
      </c>
      <c r="E150" s="52" t="inlineStr">
        <is>
          <t>Regimes, cycle, trend, carry, base metals, gold, energy and OPEC; key for a commodity-exporter currency.</t>
        </is>
      </c>
    </row>
    <row r="151">
      <c r="A151" s="51" t="inlineStr">
        <is>
          <t>Trader</t>
        </is>
      </c>
      <c r="B151" s="51" t="inlineStr">
        <is>
          <t>Literature</t>
        </is>
      </c>
      <c r="C151" s="52" t="inlineStr">
        <is>
          <t>#asset_allocation</t>
        </is>
      </c>
      <c r="D151" s="52" t="inlineStr">
        <is>
          <t>Allocation and portfolio construction</t>
        </is>
      </c>
      <c r="E151" s="52" t="inlineStr">
        <is>
          <t>Regime-based allocation and risk budgeting, private assets and crypto (2024); EM portfolio construction (2020).</t>
        </is>
      </c>
    </row>
  </sheetData>
  <autoFilter ref="A1:E141"/>
  <pageMargins left="0.75" right="0.75" top="1" bottom="1" header="0.5" footer="0.5"/>
</worksheet>
</file>

<file path=xl/worksheets/sheet3.xml><?xml version="1.0" encoding="utf-8"?>
<worksheet xmlns="http://schemas.openxmlformats.org/spreadsheetml/2006/main">
  <sheetPr>
    <tabColor rgb="FF1F2853"/>
    <outlinePr summaryBelow="1" summaryRight="1"/>
    <pageSetUpPr/>
  </sheetPr>
  <dimension ref="A1:P45"/>
  <sheetViews>
    <sheetView showGridLines="0" topLeftCell="C1" zoomScale="60" zoomScaleNormal="60" workbookViewId="0">
      <pane ySplit="1" topLeftCell="A2" activePane="bottomLeft" state="frozen"/>
      <selection pane="bottomLeft" activeCell="C4" sqref="C4"/>
    </sheetView>
  </sheetViews>
  <sheetFormatPr baseColWidth="8" defaultRowHeight="14.4"/>
  <cols>
    <col width="42" customWidth="1" min="1" max="1"/>
    <col width="28" customWidth="1" min="2" max="2"/>
    <col width="18.109375" customWidth="1" min="3" max="3"/>
    <col width="23.109375" customWidth="1" min="4" max="4"/>
    <col width="23.77734375" customWidth="1" min="5" max="5"/>
    <col width="20" customWidth="1" min="6" max="6"/>
    <col width="32.21875" customWidth="1" min="7" max="7"/>
    <col width="60.10937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64.05" customHeight="1">
      <c r="A2" s="3" t="inlineStr">
        <is>
          <t>Foreign Currency Option Values</t>
        </is>
      </c>
      <c r="B2" s="3" t="inlineStr">
        <is>
          <t>Garman, M. &amp; Kohlhagen, S.</t>
        </is>
      </c>
      <c r="C2" s="4" t="inlineStr">
        <is>
          <t>1983</t>
        </is>
      </c>
      <c r="D2" s="4" t="n">
        <v>5</v>
      </c>
      <c r="E2" s="5" t="inlineStr">
        <is>
          <t>No</t>
        </is>
      </c>
      <c r="F2" s="3" t="inlineStr">
        <is>
          <t>Paper</t>
        </is>
      </c>
      <c r="G2" s="3" t="inlineStr">
        <is>
          <t>#market_microstructure</t>
        </is>
      </c>
      <c r="H2" s="3" t="inlineStr">
        <is>
          <t>The FX-adapted Black-Scholes model — the canonical closed-form FX option pricing formula. Fills the one theoretical area (options/volatility) with zero representation in the base, despite forwards, swaps and futures all being covered elsewhere.</t>
        </is>
      </c>
      <c r="I2" s="3" t="n"/>
      <c r="J2" s="51" t="n"/>
      <c r="K2" s="52" t="n"/>
      <c r="L2" s="52" t="n"/>
      <c r="M2" s="51" t="n"/>
      <c r="N2" s="51" t="n"/>
      <c r="O2" s="52" t="n"/>
      <c r="P2" s="51" t="n"/>
    </row>
    <row r="3" ht="79.05" customHeight="1">
      <c r="A3" s="3" t="inlineStr">
        <is>
          <t>The Foreign Exchange Market (CFA L1)</t>
        </is>
      </c>
      <c r="B3" s="3" t="inlineStr">
        <is>
          <t>Barker, McNelis &amp; Nickelsburg / CFA Institute</t>
        </is>
      </c>
      <c r="C3" s="4" t="inlineStr">
        <is>
          <t>2025</t>
        </is>
      </c>
      <c r="D3" s="4" t="n">
        <v>3</v>
      </c>
      <c r="E3" s="6" t="inlineStr">
        <is>
          <t>Yes</t>
        </is>
      </c>
      <c r="F3" s="3" t="inlineStr">
        <is>
          <t>CFA curriculum reading</t>
        </is>
      </c>
      <c r="G3" s="3" t="inlineStr">
        <is>
          <t>#market_microstructure</t>
        </is>
      </c>
      <c r="H3" s="3" t="inlineStr">
        <is>
          <t>Standard practitioner map of FX market plumbing: buy-side vs. sell-side structure, the swap/spot/forward turnover split (BIS Triennial Survey), quoting hierarchy, and the impossible trinity — the baseline reference underlying every other source's implicit assumptions about liquidity and quoting conventions.</t>
        </is>
      </c>
      <c r="I3" s="3" t="n"/>
      <c r="J3" s="51" t="inlineStr">
        <is>
          <t>capital_flow_fx_market (CFA L1, 2025)</t>
        </is>
      </c>
      <c r="K3" s="53" t="inlineStr">
        <is>
          <t>Ingested</t>
        </is>
      </c>
      <c r="L3" s="52" t="inlineStr">
        <is>
          <t>2026-10-20</t>
        </is>
      </c>
      <c r="M3" s="51" t="inlineStr">
        <is>
          <t>reclean (cleaner change)</t>
        </is>
      </c>
      <c r="N3" s="51" t="n"/>
      <c r="O3" s="52" t="inlineStr">
        <is>
          <t>Yes</t>
        </is>
      </c>
      <c r="P3" s="51" t="n"/>
    </row>
    <row r="4" ht="64.05" customHeight="1">
      <c r="A4" s="3" t="inlineStr">
        <is>
          <t>Exchange Rate Calculations (CFA L1)</t>
        </is>
      </c>
      <c r="B4" s="3" t="inlineStr">
        <is>
          <t>CFA Institute</t>
        </is>
      </c>
      <c r="C4" s="4" t="inlineStr">
        <is>
          <t>2025</t>
        </is>
      </c>
      <c r="D4" s="4" t="n">
        <v>3</v>
      </c>
      <c r="E4" s="6" t="inlineStr">
        <is>
          <t>Yes</t>
        </is>
      </c>
      <c r="F4" s="3" t="inlineStr">
        <is>
          <t>CFA curriculum reading</t>
        </is>
      </c>
      <c r="G4" s="3" t="inlineStr">
        <is>
          <t>#market_microstructure</t>
        </is>
      </c>
      <c r="H4" s="3" t="inlineStr">
        <is>
          <t>The calculation toolkit — cross-rate/triangular-arbitrage mechanics, forward points, and covered interest rate parity (CIP) as a no-arbitrage identity — that the entire parity-conditions cluster (UIP, real interest parity) is built on top of.</t>
        </is>
      </c>
      <c r="I4" s="3" t="n"/>
      <c r="J4" s="51" t="inlineStr">
        <is>
          <t>exchange_rate_calculation (CFA L1, 2025)</t>
        </is>
      </c>
      <c r="K4" s="53" t="inlineStr">
        <is>
          <t>Ingested</t>
        </is>
      </c>
      <c r="L4" s="52" t="inlineStr">
        <is>
          <t>2026-10-20</t>
        </is>
      </c>
      <c r="M4" s="51" t="inlineStr">
        <is>
          <t>reclean (cleaner change)</t>
        </is>
      </c>
      <c r="N4" s="51" t="n"/>
      <c r="O4" s="52" t="inlineStr">
        <is>
          <t>Yes</t>
        </is>
      </c>
      <c r="P4" s="51" t="n"/>
    </row>
    <row r="5" ht="94.05" customHeight="1">
      <c r="A5" s="3" t="inlineStr">
        <is>
          <t>Posicao de Cambio, Saldo Cambial, Disponibilidade Cambial e Exposicao Cambial</t>
        </is>
      </c>
      <c r="B5" s="3" t="inlineStr">
        <is>
          <t>Banco Central do Brasil</t>
        </is>
      </c>
      <c r="C5" s="4" t="inlineStr">
        <is>
          <t>2020</t>
        </is>
      </c>
      <c r="D5" s="4" t="n">
        <v>4</v>
      </c>
      <c r="E5" s="6" t="inlineStr">
        <is>
          <t>Yes</t>
        </is>
      </c>
      <c r="F5" s="3" t="inlineStr">
        <is>
          <t>Central bank technical note</t>
        </is>
      </c>
      <c r="G5" s="3" t="inlineStr">
        <is>
          <t>#market_microstructure</t>
        </is>
      </c>
      <c r="H5" s="3" t="inlineStr">
        <is>
          <t>The BCB's own precise disambiguation of four related-but-distinct FX plumbing concepts (position, flow, availability, exposure) plus its concrete intervention toolkit (spot auctions vs. repo-style line auctions vs. FX swaps), illustrated with a real 2019 case cushioning a projected US$70bn short position down to US$34bn. Essential ground truth for reading any BCB-published FX market data.</t>
        </is>
      </c>
      <c r="I5" s="3" t="n"/>
      <c r="J5" s="51" t="inlineStr">
        <is>
          <t>posicao_de_cambio (BCB, 2020)</t>
        </is>
      </c>
      <c r="K5" s="53" t="inlineStr">
        <is>
          <t>Ingested</t>
        </is>
      </c>
      <c r="L5" s="52" t="inlineStr">
        <is>
          <t>2026-10-20</t>
        </is>
      </c>
      <c r="M5" s="51" t="inlineStr">
        <is>
          <t>reclean (cleaner change)</t>
        </is>
      </c>
      <c r="N5" s="51" t="n"/>
      <c r="O5" s="52" t="n"/>
      <c r="P5" s="51" t="n"/>
    </row>
    <row r="6" ht="64.05" customHeight="1">
      <c r="A6" s="3" t="inlineStr">
        <is>
          <t>Currency options / risk reversals primer (source TBD)</t>
        </is>
      </c>
      <c r="B6" s="3" t="inlineStr">
        <is>
          <t>CFA curriculum or bank research</t>
        </is>
      </c>
      <c r="C6" s="4" t="inlineStr">
        <is>
          <t>TBD</t>
        </is>
      </c>
      <c r="D6" s="4" t="n">
        <v>2</v>
      </c>
      <c r="E6" s="5" t="inlineStr">
        <is>
          <t>No</t>
        </is>
      </c>
      <c r="F6" s="3" t="inlineStr">
        <is>
          <t>Paper / practitioner note</t>
        </is>
      </c>
      <c r="G6" s="3" t="inlineStr">
        <is>
          <t>#market_microstructure</t>
        </is>
      </c>
      <c r="H6" s="3" t="inlineStr">
        <is>
          <t>Placeholder for a positioning-and-skew-as-signal companion to Garman-Kohlhagen's pricing model, ideally at the same practitioner register as the existing CFA/Goldman sources — would close the "options as an FX sentiment/positioning indicator" half of the gap.</t>
        </is>
      </c>
      <c r="I6" s="3" t="n"/>
      <c r="J6" s="51" t="n"/>
      <c r="K6" s="52" t="n"/>
      <c r="L6" s="52" t="n"/>
      <c r="M6" s="51" t="n"/>
      <c r="N6" s="51" t="n"/>
      <c r="O6" s="52" t="n"/>
      <c r="P6" s="51" t="n"/>
    </row>
    <row r="7" ht="94.05" customHeight="1">
      <c r="A7" s="3" t="inlineStr">
        <is>
          <t>Expectations and Exchange Rate Dynamics</t>
        </is>
      </c>
      <c r="B7" s="3" t="inlineStr">
        <is>
          <t>Dornbusch, R.</t>
        </is>
      </c>
      <c r="C7" s="4" t="inlineStr">
        <is>
          <t>1976</t>
        </is>
      </c>
      <c r="D7" s="4" t="n">
        <v>5</v>
      </c>
      <c r="E7" s="6" t="inlineStr">
        <is>
          <t>Yes</t>
        </is>
      </c>
      <c r="F7" s="3" t="inlineStr">
        <is>
          <t>Paper</t>
        </is>
      </c>
      <c r="G7" s="3" t="inlineStr">
        <is>
          <t>#exchange_rate_determination</t>
        </is>
      </c>
      <c r="H7" s="3" t="inlineStr">
        <is>
          <t>The founding overshooting model — sticky goods prices plus instantaneously-clearing asset markets mean a permanent monetary shock makes the exchange rate depreciate more than its long-run equilibrium level before appreciating back as prices catch up. The single most-cited explanation for why FX volatility so badly outpaces relative-price-level volatility.</t>
        </is>
      </c>
      <c r="I7" s="3" t="n"/>
      <c r="J7" s="51" t="inlineStr">
        <is>
          <t>expectations_and_exchange_rate_dynamics (Dornbusch, 1976)</t>
        </is>
      </c>
      <c r="K7" s="53" t="inlineStr">
        <is>
          <t>Ingested</t>
        </is>
      </c>
      <c r="L7" s="52" t="inlineStr">
        <is>
          <t>2026-10-20</t>
        </is>
      </c>
      <c r="M7" s="51" t="inlineStr">
        <is>
          <t>reclean (cleaner change)</t>
        </is>
      </c>
      <c r="N7" s="51" t="n"/>
      <c r="O7" s="52" t="inlineStr">
        <is>
          <t>Yes</t>
        </is>
      </c>
      <c r="P7" s="51" t="n"/>
    </row>
    <row r="8" ht="124.05" customHeight="1">
      <c r="A8" s="3" t="inlineStr">
        <is>
          <t>Forward and Spot Exchange Rates</t>
        </is>
      </c>
      <c r="B8" s="3" t="inlineStr">
        <is>
          <t>Fama, E.</t>
        </is>
      </c>
      <c r="C8" s="4" t="inlineStr">
        <is>
          <t>1984</t>
        </is>
      </c>
      <c r="D8" s="4" t="n">
        <v>5</v>
      </c>
      <c r="E8" s="6" t="inlineStr">
        <is>
          <t>Yes</t>
        </is>
      </c>
      <c r="F8" s="3" t="inlineStr">
        <is>
          <t>Paper</t>
        </is>
      </c>
      <c r="G8" s="3" t="inlineStr">
        <is>
          <t>#exchange_rate_determination</t>
        </is>
      </c>
      <c r="H8" s="3" t="inlineStr">
        <is>
          <t>The original "wrong-signed beta" UIP-failure econometrics — the single most-cited empirical fact behind the forward-premium/carry-trade puzzle. Shows most of the variance in the forward-spot differential is risk-premium variance, not genuine forecast information, and catalogs the competing explanations (irrationality, official "leaning against the wind," the peso problem, Fama-Gibbons/Mundell-Tobin real-rate effects) the field still adjudicates between four decades later.</t>
        </is>
      </c>
      <c r="I8" s="3" t="n"/>
      <c r="J8" s="51" t="inlineStr">
        <is>
          <t>forward_spot_exchange (Fama, 1984)</t>
        </is>
      </c>
      <c r="K8" s="53" t="inlineStr">
        <is>
          <t>Ingested</t>
        </is>
      </c>
      <c r="L8" s="52" t="inlineStr">
        <is>
          <t>2026-10-20</t>
        </is>
      </c>
      <c r="M8" s="51" t="inlineStr">
        <is>
          <t>reclean (cleaner change)</t>
        </is>
      </c>
      <c r="N8" s="51" t="n"/>
      <c r="O8" s="52" t="n"/>
      <c r="P8" s="51" t="n"/>
    </row>
    <row r="9" ht="64.05" customHeight="1">
      <c r="A9" s="3" t="inlineStr">
        <is>
          <t>Anomalies: Foreign Exchange</t>
        </is>
      </c>
      <c r="B9" s="3" t="inlineStr">
        <is>
          <t>Froot, K. &amp; Thaler, R.</t>
        </is>
      </c>
      <c r="C9" s="4" t="inlineStr">
        <is>
          <t>1990</t>
        </is>
      </c>
      <c r="D9" s="4" t="n">
        <v>4</v>
      </c>
      <c r="E9" s="31" t="inlineStr">
        <is>
          <t>Yes</t>
        </is>
      </c>
      <c r="F9" s="3" t="inlineStr">
        <is>
          <t>Paper (survey)</t>
        </is>
      </c>
      <c r="G9" s="3" t="inlineStr">
        <is>
          <t>#exchange_rate_determination</t>
        </is>
      </c>
      <c r="H9" s="3" t="inlineStr">
        <is>
          <t>Accessible, non-technical survey of the forward premium puzzle — good complement if you want context/synthesis alongside the raw econometrics</t>
        </is>
      </c>
      <c r="I9" s="3" t="inlineStr">
        <is>
          <t>Acquisition priority: Low (survey, optional)
Suggested file: fx_anomalies_survey (Froot &amp; Thaler, 1990).pdf</t>
        </is>
      </c>
      <c r="J9" s="51" t="inlineStr">
        <is>
          <t>fx_anomalies_survey (Froot &amp; Thaler, 1990)</t>
        </is>
      </c>
      <c r="K9" s="53" t="inlineStr">
        <is>
          <t>Ingested</t>
        </is>
      </c>
      <c r="L9" s="52" t="inlineStr">
        <is>
          <t>2026-10-20</t>
        </is>
      </c>
      <c r="M9" s="51" t="inlineStr">
        <is>
          <t>reclean (cleaner change)</t>
        </is>
      </c>
      <c r="N9" s="51" t="n"/>
      <c r="O9" s="52" t="n"/>
      <c r="P9" s="51" t="n"/>
    </row>
    <row r="10" ht="64.05" customHeight="1">
      <c r="A10" s="3" t="inlineStr">
        <is>
          <t>International Economics, Ch. 14 - Exchange Rates and the Foreign Exchange Market</t>
        </is>
      </c>
      <c r="B10" s="3" t="inlineStr">
        <is>
          <t>Krugman, Obstfeld &amp; Melitz</t>
        </is>
      </c>
      <c r="C10" s="4" t="inlineStr">
        <is>
          <t>2023</t>
        </is>
      </c>
      <c r="D10" s="4" t="n">
        <v>4</v>
      </c>
      <c r="E10" s="6" t="inlineStr">
        <is>
          <t>Yes</t>
        </is>
      </c>
      <c r="F10" s="3" t="inlineStr">
        <is>
          <t>Textbook chapter</t>
        </is>
      </c>
      <c r="G10" s="3" t="inlineStr">
        <is>
          <t>#exchange_rate_determination</t>
        </is>
      </c>
      <c r="H10" s="3" t="inlineStr">
        <is>
          <t>The standard textbook formalization of UIP as the FX market's core equilibrium condition, and the asset-approach reframing of exchange rates as forward-looking asset prices rather than goods prices — the spine the whole determination cluster organizes around.</t>
        </is>
      </c>
      <c r="I10" s="3" t="n"/>
      <c r="J10" s="51" t="inlineStr">
        <is>
          <t>exchange_rate_foreign_exchange_market (Krugman, 2023)</t>
        </is>
      </c>
      <c r="K10" s="53" t="inlineStr">
        <is>
          <t>Ingested</t>
        </is>
      </c>
      <c r="L10" s="52" t="inlineStr">
        <is>
          <t>2026-10-20</t>
        </is>
      </c>
      <c r="M10" s="51" t="inlineStr">
        <is>
          <t>reclean (cleaner change)</t>
        </is>
      </c>
      <c r="N10" s="51" t="n"/>
      <c r="O10" s="52" t="inlineStr">
        <is>
          <t>Yes</t>
        </is>
      </c>
      <c r="P10" s="51" t="n"/>
    </row>
    <row r="11" ht="64.05" customHeight="1">
      <c r="A11" s="3" t="inlineStr">
        <is>
          <t>International Economics, Ch. 15 - Money, Interest Rates, and Exchange Rates</t>
        </is>
      </c>
      <c r="B11" s="3" t="inlineStr">
        <is>
          <t>Krugman, Obstfeld &amp; Melitz</t>
        </is>
      </c>
      <c r="C11" s="4" t="inlineStr">
        <is>
          <t>2023</t>
        </is>
      </c>
      <c r="D11" s="4" t="n">
        <v>4</v>
      </c>
      <c r="E11" s="6" t="inlineStr">
        <is>
          <t>Yes</t>
        </is>
      </c>
      <c r="F11" s="3" t="inlineStr">
        <is>
          <t>Textbook chapter</t>
        </is>
      </c>
      <c r="G11" s="3" t="inlineStr">
        <is>
          <t>#exchange_rate_determination</t>
        </is>
      </c>
      <c r="H11" s="3" t="inlineStr">
        <is>
          <t>Textbook derivation of Dornbusch overshooting via the money-market/interest-parity diagram, the long-run-monetary-neutrality "currency reform" intuition, and Latin American money-growth/inflation scatter evidence (1980–2014) grounding the quantity-theory logic empirically.</t>
        </is>
      </c>
      <c r="I11" s="3" t="n"/>
      <c r="J11" s="51" t="inlineStr">
        <is>
          <t>money_interest_rate_exchange_rates (Krugman, 2023)</t>
        </is>
      </c>
      <c r="K11" s="53" t="inlineStr">
        <is>
          <t>Ingested</t>
        </is>
      </c>
      <c r="L11" s="52" t="inlineStr">
        <is>
          <t>2026-10-20</t>
        </is>
      </c>
      <c r="M11" s="51" t="inlineStr">
        <is>
          <t>reclean (cleaner change)</t>
        </is>
      </c>
      <c r="N11" s="51" t="n"/>
      <c r="O11" s="52" t="inlineStr">
        <is>
          <t>Yes</t>
        </is>
      </c>
      <c r="P11" s="51" t="n"/>
    </row>
    <row r="12" ht="79.05" customHeight="1">
      <c r="A12" s="3" t="inlineStr">
        <is>
          <t>International Economics, Ch. 16 - Price Levels and the Exchange Rate in the Long Run</t>
        </is>
      </c>
      <c r="B12" s="3" t="inlineStr">
        <is>
          <t>Krugman, Obstfeld &amp; Melitz</t>
        </is>
      </c>
      <c r="C12" s="4" t="inlineStr">
        <is>
          <t>2023</t>
        </is>
      </c>
      <c r="D12" s="4" t="n">
        <v>4</v>
      </c>
      <c r="E12" s="6" t="inlineStr">
        <is>
          <t>Yes</t>
        </is>
      </c>
      <c r="F12" s="3" t="inlineStr">
        <is>
          <t>Textbook chapter</t>
        </is>
      </c>
      <c r="G12" s="3" t="inlineStr">
        <is>
          <t>#exchange_rate_determination</t>
        </is>
      </c>
      <c r="H12" s="3" t="inlineStr">
        <is>
          <t>Long-run PPP/monetary-approach chapter — derives real interest rate parity as an accounting identity (not an empirical requirement), formalizes the Balassa-Samuelson effect behind BEER-style models, and reports Frankel &amp; Rose's ~4-year PPP-deviation half-life, independently corroborating GSDEER's convergence-speed estimate.</t>
        </is>
      </c>
      <c r="I12" s="3" t="n"/>
      <c r="J12" s="51" t="inlineStr">
        <is>
          <t>price_levels_exchange_rate_lr (Krugman, 2023)</t>
        </is>
      </c>
      <c r="K12" s="53" t="inlineStr">
        <is>
          <t>Ingested</t>
        </is>
      </c>
      <c r="L12" s="52" t="inlineStr">
        <is>
          <t>2026-10-20</t>
        </is>
      </c>
      <c r="M12" s="51" t="inlineStr">
        <is>
          <t>reclean (cleaner change)</t>
        </is>
      </c>
      <c r="N12" s="51" t="n"/>
      <c r="O12" s="52" t="inlineStr">
        <is>
          <t>Yes</t>
        </is>
      </c>
      <c r="P12" s="51" t="n"/>
    </row>
    <row r="13" ht="79.05" customHeight="1">
      <c r="A13" s="3" t="inlineStr">
        <is>
          <t>Currency Exchange Rates: Understanding Equilibrium Value (CFA L2)</t>
        </is>
      </c>
      <c r="B13" s="3" t="inlineStr">
        <is>
          <t>CFA Institute</t>
        </is>
      </c>
      <c r="C13" s="4" t="inlineStr">
        <is>
          <t>2025</t>
        </is>
      </c>
      <c r="D13" s="4" t="n">
        <v>4</v>
      </c>
      <c r="E13" s="6" t="inlineStr">
        <is>
          <t>Yes</t>
        </is>
      </c>
      <c r="F13" s="3" t="inlineStr">
        <is>
          <t>CFA curriculum reading</t>
        </is>
      </c>
      <c r="G13" s="3" t="inlineStr">
        <is>
          <t>#exchange_rate_determination</t>
        </is>
      </c>
      <c r="H13" s="3" t="inlineStr">
        <is>
          <t>The densest single synthesizing source in the base (78pp) — ties UIP, CIP, ex ante PPP, real interest parity and the international Fisher effect into one master parity-conditions diagram, and is the direct source of the carry-trade return-distribution mechanics (fat tails, negative skew) used throughout the base.</t>
        </is>
      </c>
      <c r="I13" s="3" t="n"/>
      <c r="J13" s="51" t="inlineStr">
        <is>
          <t>exchange_rate_understanding_equilibrium (CFA L2, 2025)</t>
        </is>
      </c>
      <c r="K13" s="53" t="inlineStr">
        <is>
          <t>Ingested</t>
        </is>
      </c>
      <c r="L13" s="52" t="inlineStr">
        <is>
          <t>2026-10-20</t>
        </is>
      </c>
      <c r="M13" s="51" t="inlineStr">
        <is>
          <t>reclean (cleaner change)</t>
        </is>
      </c>
      <c r="N13" s="51" t="n"/>
      <c r="O13" s="52" t="inlineStr">
        <is>
          <t>Yes</t>
        </is>
      </c>
      <c r="P13" s="51" t="n"/>
    </row>
    <row r="14" ht="79.05" customHeight="1">
      <c r="A14" s="3" t="inlineStr">
        <is>
          <t>A Theory of Optimum Currency Areas</t>
        </is>
      </c>
      <c r="B14" s="3" t="inlineStr">
        <is>
          <t>Mundell, R.A.</t>
        </is>
      </c>
      <c r="C14" s="4" t="inlineStr">
        <is>
          <t>1961</t>
        </is>
      </c>
      <c r="D14" s="4" t="n">
        <v>5</v>
      </c>
      <c r="E14" s="6" t="inlineStr">
        <is>
          <t>Yes</t>
        </is>
      </c>
      <c r="F14" s="3" t="inlineStr">
        <is>
          <t>Paper</t>
        </is>
      </c>
      <c r="G14" s="3" t="inlineStr">
        <is>
          <t>#currency_regimes</t>
        </is>
      </c>
      <c r="H14" s="3" t="inlineStr">
        <is>
          <t>The founding OCA paper — defines the optimal domain for a shared currency as the region with high internal and low external factor mobility, not any particular political border. Directly prefigures the euro debate three decades early via the Meade-Scitovsky exchange cited in the paper.</t>
        </is>
      </c>
      <c r="I14" s="3" t="n"/>
      <c r="J14" s="51" t="inlineStr">
        <is>
          <t>theory_optimum_currency_areas (Mundell, 1961)</t>
        </is>
      </c>
      <c r="K14" s="53" t="inlineStr">
        <is>
          <t>Ingested</t>
        </is>
      </c>
      <c r="L14" s="52" t="inlineStr">
        <is>
          <t>2026-10-20</t>
        </is>
      </c>
      <c r="M14" s="51" t="inlineStr">
        <is>
          <t>reclean (cleaner change)</t>
        </is>
      </c>
      <c r="N14" s="51" t="n"/>
      <c r="O14" s="52" t="n"/>
      <c r="P14" s="51" t="n"/>
    </row>
    <row r="15" ht="79.05" customHeight="1">
      <c r="A15" s="3" t="inlineStr">
        <is>
          <t>Capital Mobility and Stabilization Policy Under Fixed and Flexible Exchange Rates</t>
        </is>
      </c>
      <c r="B15" s="3" t="inlineStr">
        <is>
          <t>Mundell, R.A.</t>
        </is>
      </c>
      <c r="C15" s="4" t="inlineStr">
        <is>
          <t>1963</t>
        </is>
      </c>
      <c r="D15" s="4" t="n">
        <v>5</v>
      </c>
      <c r="E15" s="6" t="inlineStr">
        <is>
          <t>Yes</t>
        </is>
      </c>
      <c r="F15" s="3" t="inlineStr">
        <is>
          <t>Paper</t>
        </is>
      </c>
      <c r="G15" s="3" t="inlineStr">
        <is>
          <t>#currency_regimes</t>
        </is>
      </c>
      <c r="H15" s="3" t="inlineStr">
        <is>
          <t>The founding Mundell-Fleming result — under perfect capital mobility, monetary policy is powerful under floating rates and impotent under fixed rates, and fiscal policy is the mirror image. The paper the impossible trinity and every fixed-vs-floating policy-effectiveness argument in the base ultimately traces back to.</t>
        </is>
      </c>
      <c r="I15" s="3" t="n"/>
      <c r="J15" s="51" t="inlineStr">
        <is>
          <t>capital_mobility_exchange_rates_regimes (Mundell, 1963)</t>
        </is>
      </c>
      <c r="K15" s="53" t="inlineStr">
        <is>
          <t>Ingested</t>
        </is>
      </c>
      <c r="L15" s="52" t="inlineStr">
        <is>
          <t>2026-10-20</t>
        </is>
      </c>
      <c r="M15" s="51" t="inlineStr">
        <is>
          <t>reclean (cleaner change)</t>
        </is>
      </c>
      <c r="N15" s="51" t="n"/>
      <c r="O15" s="52" t="inlineStr">
        <is>
          <t>Yes</t>
        </is>
      </c>
      <c r="P15" s="51" t="n"/>
    </row>
    <row r="16" ht="64.05" customHeight="1">
      <c r="A16" s="3" t="inlineStr">
        <is>
          <t>Optimum Currency Areas</t>
        </is>
      </c>
      <c r="B16" s="3" t="inlineStr">
        <is>
          <t>McKinnon, R.</t>
        </is>
      </c>
      <c r="C16" s="4" t="inlineStr">
        <is>
          <t>1963</t>
        </is>
      </c>
      <c r="D16" s="4" t="n">
        <v>5</v>
      </c>
      <c r="E16" s="5" t="inlineStr">
        <is>
          <t>No</t>
        </is>
      </c>
      <c r="F16" s="3" t="inlineStr">
        <is>
          <t>Paper</t>
        </is>
      </c>
      <c r="G16" s="3" t="inlineStr">
        <is>
          <t>#currency_regimes</t>
        </is>
      </c>
      <c r="H16" s="3" t="inlineStr">
        <is>
          <t>The second classic OCA criterion (economic openness) — the standard complement to Mundell (1961); together with Kenen (1969), completes the canonical Mundell/McKinnon/Kenen OCA trio still taught as the field's baseline.</t>
        </is>
      </c>
      <c r="I16" s="3" t="n"/>
      <c r="J16" s="51" t="n"/>
      <c r="K16" s="52" t="n"/>
      <c r="L16" s="52" t="n"/>
      <c r="M16" s="51" t="n"/>
      <c r="N16" s="51" t="n"/>
      <c r="O16" s="52" t="n"/>
      <c r="P16" s="51" t="n"/>
    </row>
    <row r="17" ht="49.05" customHeight="1">
      <c r="A17" s="3" t="inlineStr">
        <is>
          <t>The Theory of Optimum Currency Areas: An Eclectic View</t>
        </is>
      </c>
      <c r="B17" s="3" t="inlineStr">
        <is>
          <t>Kenen, P.</t>
        </is>
      </c>
      <c r="C17" s="4" t="inlineStr">
        <is>
          <t>1969</t>
        </is>
      </c>
      <c r="D17" s="4" t="n">
        <v>5</v>
      </c>
      <c r="E17" s="5" t="inlineStr">
        <is>
          <t>No</t>
        </is>
      </c>
      <c r="F17" s="3" t="inlineStr">
        <is>
          <t>Paper</t>
        </is>
      </c>
      <c r="G17" s="3" t="inlineStr">
        <is>
          <t>#currency_regimes</t>
        </is>
      </c>
      <c r="H17" s="3" t="inlineStr">
        <is>
          <t>The third classic OCA criterion (production diversification as a buffer against asymmetric shocks) — closes the canonical OCA trio alongside Mundell (1961) and McKinnon (1963).</t>
        </is>
      </c>
      <c r="I17" s="3" t="n"/>
      <c r="J17" s="51" t="n"/>
      <c r="K17" s="52" t="n"/>
      <c r="L17" s="52" t="n"/>
      <c r="M17" s="51" t="n"/>
      <c r="N17" s="51" t="n"/>
      <c r="O17" s="52" t="n"/>
      <c r="P17" s="51" t="n"/>
    </row>
    <row r="18" ht="94.05" customHeight="1">
      <c r="A18" s="3" t="inlineStr">
        <is>
          <t>Exchange Rates and Financial Fragility (NBER WP 7418)</t>
        </is>
      </c>
      <c r="B18" s="3" t="inlineStr">
        <is>
          <t>Eichengreen, B. &amp; Hausmann, R.</t>
        </is>
      </c>
      <c r="C18" s="4" t="inlineStr">
        <is>
          <t>1999</t>
        </is>
      </c>
      <c r="D18" s="4" t="n">
        <v>5</v>
      </c>
      <c r="E18" s="18" t="inlineStr">
        <is>
          <t>Yes</t>
        </is>
      </c>
      <c r="F18" s="3" t="inlineStr">
        <is>
          <t>Paper</t>
        </is>
      </c>
      <c r="G18" s="3" t="inlineStr">
        <is>
          <t>#currency_regimes</t>
        </is>
      </c>
      <c r="H18" s="3" t="inlineStr">
        <is>
          <t>The paper that coined "original sin" — EM inability to borrow abroad in local currency, and how that shapes exchange-rate-regime choice</t>
        </is>
      </c>
      <c r="I18" s="3" t="inlineStr">
        <is>
          <t>Acquisition priority: High
Suggested file: original_sin_em_debt (Eichengreen &amp; Hausmann, 1999).pdf
Also feeds #currency_crisis_dynamics</t>
        </is>
      </c>
      <c r="J18" s="51" t="inlineStr">
        <is>
          <t>original_sin_em_debt (Eichengreen &amp; Hausmann, 1999)</t>
        </is>
      </c>
      <c r="K18" s="53" t="inlineStr">
        <is>
          <t>Ingested</t>
        </is>
      </c>
      <c r="L18" s="52" t="inlineStr">
        <is>
          <t>2026-10-20</t>
        </is>
      </c>
      <c r="M18" s="51" t="inlineStr">
        <is>
          <t>reclean (cleaner change)</t>
        </is>
      </c>
      <c r="N18" s="51" t="n"/>
      <c r="O18" s="52" t="n"/>
      <c r="P18" s="51" t="n"/>
    </row>
    <row r="19" ht="79.05" customHeight="1">
      <c r="A19" s="3" t="inlineStr">
        <is>
          <t>International Economics, Ch. 18 - Fixed Exchange Rates and Foreign Exchange Intervention</t>
        </is>
      </c>
      <c r="B19" s="3" t="inlineStr">
        <is>
          <t>Krugman, Obstfeld &amp; Melitz</t>
        </is>
      </c>
      <c r="C19" s="4" t="inlineStr">
        <is>
          <t>2023</t>
        </is>
      </c>
      <c r="D19" s="4" t="n">
        <v>4</v>
      </c>
      <c r="E19" s="6" t="inlineStr">
        <is>
          <t>Yes</t>
        </is>
      </c>
      <c r="F19" s="3" t="inlineStr">
        <is>
          <t>Textbook chapter</t>
        </is>
      </c>
      <c r="G19" s="3" t="inlineStr">
        <is>
          <t>#currency_regimes</t>
        </is>
      </c>
      <c r="H19" s="3" t="inlineStr">
        <is>
          <t>The textbook mechanics of defending a peg — central bank balance-sheet mechanics, sterilized vs. non-sterilized intervention, the risk-premium channel under imperfect asset substitutability, and the reserve-currency asymmetry that let the US never have to intervene under Bretton Woods.</t>
        </is>
      </c>
      <c r="I19" s="3" t="n"/>
      <c r="J19" s="51" t="inlineStr">
        <is>
          <t>fixed_exchange_rate_intervention (Krugman, 2023)</t>
        </is>
      </c>
      <c r="K19" s="53" t="inlineStr">
        <is>
          <t>Ingested</t>
        </is>
      </c>
      <c r="L19" s="52" t="inlineStr">
        <is>
          <t>2026-10-20</t>
        </is>
      </c>
      <c r="M19" s="51" t="inlineStr">
        <is>
          <t>reclean (cleaner change)</t>
        </is>
      </c>
      <c r="N19" s="51" t="n"/>
      <c r="O19" s="52" t="inlineStr">
        <is>
          <t>Yes</t>
        </is>
      </c>
      <c r="P19" s="51" t="n"/>
    </row>
    <row r="20" ht="79.05" customHeight="1">
      <c r="A20" s="3" t="inlineStr">
        <is>
          <t>Renminbi Internationalization: Achievements, Prospects, and Challenges</t>
        </is>
      </c>
      <c r="B20" s="3" t="inlineStr">
        <is>
          <t>Eichengreen, B. &amp; Kawai, M.</t>
        </is>
      </c>
      <c r="C20" s="4" t="inlineStr">
        <is>
          <t>2014</t>
        </is>
      </c>
      <c r="D20" s="4" t="n">
        <v>3</v>
      </c>
      <c r="E20" s="31" t="inlineStr">
        <is>
          <t>Yes</t>
        </is>
      </c>
      <c r="F20" s="3" t="inlineStr">
        <is>
          <t>Paper</t>
        </is>
      </c>
      <c r="G20" s="3" t="inlineStr">
        <is>
          <t>#currency_regimes</t>
        </is>
      </c>
      <c r="H20" s="3" t="inlineStr">
        <is>
          <t>Gives a concrete non-Brazil EM case study — RMB internationalization and managed-float mechanics, a natural parallel to the BCB posicao_de_cambio piece already in the base</t>
        </is>
      </c>
      <c r="I20" s="3" t="inlineStr">
        <is>
          <t>Acquisition priority: Medium
Suggested file: rmb_internationalization (Eichengreen &amp; Kawai, 2014).pdf
Also feeds #market_microstructure</t>
        </is>
      </c>
      <c r="J20" s="51" t="inlineStr">
        <is>
          <t>rmb_internationalization (Eichengreen &amp; Kawai, 2014)</t>
        </is>
      </c>
      <c r="K20" s="53" t="inlineStr">
        <is>
          <t>Ingested</t>
        </is>
      </c>
      <c r="L20" s="52" t="inlineStr">
        <is>
          <t>2026-10-20</t>
        </is>
      </c>
      <c r="M20" s="51" t="inlineStr">
        <is>
          <t>reclean (cleaner change)</t>
        </is>
      </c>
      <c r="N20" s="51" t="n"/>
      <c r="O20" s="52" t="n"/>
      <c r="P20" s="51" t="n"/>
    </row>
    <row r="21" ht="79.05" customHeight="1">
      <c r="A21" s="3" t="inlineStr">
        <is>
          <t>International Economics, Ch. 13 - National Income Accounting and the Balance of Payments</t>
        </is>
      </c>
      <c r="B21" s="3" t="inlineStr">
        <is>
          <t>Krugman, Obstfeld &amp; Melitz</t>
        </is>
      </c>
      <c r="C21" s="4" t="inlineStr">
        <is>
          <t>2023</t>
        </is>
      </c>
      <c r="D21" s="4" t="n">
        <v>4</v>
      </c>
      <c r="E21" s="6" t="inlineStr">
        <is>
          <t>Yes</t>
        </is>
      </c>
      <c r="F21" s="3" t="inlineStr">
        <is>
          <t>Textbook chapter</t>
        </is>
      </c>
      <c r="G21" s="3" t="inlineStr">
        <is>
          <t>#balance_of_payments</t>
        </is>
      </c>
      <c r="H21" s="3" t="inlineStr">
        <is>
          <t>The accounting-identity backbone of the whole balance-of-payments cluster — X−M = (S−I)+(T−G), the twin-deficits decomposition, and the BPM6 current/capital/financial account structure that later sources (Paiva's BEER, the GSFEER current-account-gap model) build directly on top of.</t>
        </is>
      </c>
      <c r="I21" s="3" t="n"/>
      <c r="J21" s="51" t="inlineStr">
        <is>
          <t>national_income_balance_payments (Krugman, 2023)</t>
        </is>
      </c>
      <c r="K21" s="53" t="inlineStr">
        <is>
          <t>Ingested</t>
        </is>
      </c>
      <c r="L21" s="52" t="inlineStr">
        <is>
          <t>2026-10-20</t>
        </is>
      </c>
      <c r="M21" s="51" t="inlineStr">
        <is>
          <t>reclean (cleaner change)</t>
        </is>
      </c>
      <c r="N21" s="51" t="n"/>
      <c r="O21" s="52" t="n"/>
      <c r="P21" s="51" t="n"/>
    </row>
    <row r="22" ht="94.05" customHeight="1">
      <c r="A22" s="3" t="inlineStr">
        <is>
          <t>Invested Interests: The Politics of National Economic Policies in a World of Global Finance</t>
        </is>
      </c>
      <c r="B22" s="3" t="inlineStr">
        <is>
          <t>Frieden, J.</t>
        </is>
      </c>
      <c r="C22" s="4" t="inlineStr">
        <is>
          <t>1991</t>
        </is>
      </c>
      <c r="D22" s="4" t="n">
        <v>5</v>
      </c>
      <c r="E22" s="6" t="inlineStr">
        <is>
          <t>Yes</t>
        </is>
      </c>
      <c r="F22" s="3" t="inlineStr">
        <is>
          <t>Paper</t>
        </is>
      </c>
      <c r="G22" s="3" t="inlineStr">
        <is>
          <t>#policy_transmission</t>
        </is>
      </c>
      <c r="H22" s="3" t="inlineStr">
        <is>
          <t>The canonical political-economy-of-exchange-rates paper — maps which domestic sectors (import-competing tradables, export tradables, nontradables, international investors) favor currency stability vs. policy autonomy, and a weak vs. strong currency. Gives a formal "who wins, who loses" mechanism behind any specific country's currency-regime politics, including Brazil's own.</t>
        </is>
      </c>
      <c r="I22" s="3" t="n"/>
      <c r="J22" s="51" t="inlineStr">
        <is>
          <t>invested_interest (Frieden, 1991)</t>
        </is>
      </c>
      <c r="K22" s="53" t="inlineStr">
        <is>
          <t>Ingested</t>
        </is>
      </c>
      <c r="L22" s="52" t="inlineStr">
        <is>
          <t>2026-10-20</t>
        </is>
      </c>
      <c r="M22" s="51" t="inlineStr">
        <is>
          <t>reclean (cleaner change)</t>
        </is>
      </c>
      <c r="N22" s="51" t="n"/>
      <c r="O22" s="52" t="n"/>
      <c r="P22" s="51" t="n"/>
    </row>
    <row r="23" ht="79.05" customHeight="1">
      <c r="A23" s="3" t="inlineStr">
        <is>
          <t>International Economics, Ch. 17 - Output and the Exchange Rate in the Short Run</t>
        </is>
      </c>
      <c r="B23" s="3" t="inlineStr">
        <is>
          <t>Krugman, Obstfeld &amp; Melitz</t>
        </is>
      </c>
      <c r="C23" s="4" t="inlineStr">
        <is>
          <t>2023</t>
        </is>
      </c>
      <c r="D23" s="4" t="n">
        <v>4</v>
      </c>
      <c r="E23" s="6" t="inlineStr">
        <is>
          <t>Yes</t>
        </is>
      </c>
      <c r="F23" s="3" t="inlineStr">
        <is>
          <t>Textbook chapter</t>
        </is>
      </c>
      <c r="G23" s="3" t="inlineStr">
        <is>
          <t>#policy_transmission</t>
        </is>
      </c>
      <c r="H23" s="3" t="inlineStr">
        <is>
          <t>The DD-AA model plus the Marshall-Lerner condition and the J-curve — the formal elasticity conditions under which a depreciation actually improves (rather than worsens) the trade balance, and the mechanism by which a weak short-run J-curve response amplifies Dornbusch overshooting.</t>
        </is>
      </c>
      <c r="I23" s="3" t="n"/>
      <c r="J23" s="51" t="inlineStr">
        <is>
          <t>output_exchange_rates_sr (Krugman, 2023)</t>
        </is>
      </c>
      <c r="K23" s="53" t="inlineStr">
        <is>
          <t>Ingested</t>
        </is>
      </c>
      <c r="L23" s="52" t="inlineStr">
        <is>
          <t>2026-10-20</t>
        </is>
      </c>
      <c r="M23" s="51" t="inlineStr">
        <is>
          <t>reclean (cleaner change)</t>
        </is>
      </c>
      <c r="N23" s="51" t="n"/>
      <c r="O23" s="52" t="inlineStr">
        <is>
          <t>Yes</t>
        </is>
      </c>
      <c r="P23" s="51" t="n"/>
    </row>
    <row r="24" ht="49.05" customHeight="1">
      <c r="A24" s="3" t="inlineStr">
        <is>
          <t>The Political Economy of International Monetary Relations</t>
        </is>
      </c>
      <c r="B24" s="3" t="inlineStr">
        <is>
          <t>Broz, J.L. &amp; Frieden, J.</t>
        </is>
      </c>
      <c r="C24" s="4" t="inlineStr">
        <is>
          <t>2001</t>
        </is>
      </c>
      <c r="D24" s="4" t="n">
        <v>3</v>
      </c>
      <c r="E24" s="31" t="inlineStr">
        <is>
          <t>Yes</t>
        </is>
      </c>
      <c r="F24" s="3" t="inlineStr">
        <is>
          <t>Paper (survey)</t>
        </is>
      </c>
      <c r="G24" s="3" t="inlineStr">
        <is>
          <t>#policy_transmission</t>
        </is>
      </c>
      <c r="H24" s="3" t="inlineStr">
        <is>
          <t>A single-source field survey of exchange-rate political economy — useful as a broader, updated overview alongside Frieden's original 1991 sectoral-interests paper.</t>
        </is>
      </c>
      <c r="I24" s="3" t="n"/>
      <c r="J24" s="51" t="inlineStr">
        <is>
          <t>political_economy_international_monetary_relations (Broz &amp; Frieden, 2001)</t>
        </is>
      </c>
      <c r="K24" s="53" t="inlineStr">
        <is>
          <t>Ingested</t>
        </is>
      </c>
      <c r="L24" s="52" t="inlineStr">
        <is>
          <t>2026-10-20</t>
        </is>
      </c>
      <c r="M24" s="51" t="inlineStr">
        <is>
          <t>reclean (cleaner change)</t>
        </is>
      </c>
      <c r="N24" s="51" t="n"/>
      <c r="O24" s="52" t="n"/>
      <c r="P24" s="51" t="n"/>
    </row>
    <row r="25" ht="79.05" customHeight="1">
      <c r="A25" s="3" t="inlineStr">
        <is>
          <t>External Adjustment and Equilibrium Exchange Rate in Brazil (IMF WP/06/221)</t>
        </is>
      </c>
      <c r="B25" s="3" t="inlineStr">
        <is>
          <t>Paiva, C.</t>
        </is>
      </c>
      <c r="C25" s="4" t="inlineStr">
        <is>
          <t>2006</t>
        </is>
      </c>
      <c r="D25" s="4" t="n">
        <v>4</v>
      </c>
      <c r="E25" s="6" t="inlineStr">
        <is>
          <t>Yes</t>
        </is>
      </c>
      <c r="F25" s="3" t="inlineStr">
        <is>
          <t>Paper</t>
        </is>
      </c>
      <c r="G25" s="3" t="inlineStr">
        <is>
          <t>#applied_valuation_tools</t>
        </is>
      </c>
      <c r="H25" s="3" t="inlineStr">
        <is>
          <t>Applies the BEER (Behavioral Equilibrium Exchange Rate) methodology to Brazil via Johansen cointegration — finds the real's 2003–05 appreciation was largely an equilibrium phenomenon (net foreign asset position + terms of trade), a direct empirical counterpoint to reading any large REER move as automatic misalignment.</t>
        </is>
      </c>
      <c r="I25" s="3" t="n"/>
      <c r="J25" s="51" t="inlineStr">
        <is>
          <t>equilibrium_exchange_brazil (Paiva, 2006)</t>
        </is>
      </c>
      <c r="K25" s="53" t="inlineStr">
        <is>
          <t>Ingested</t>
        </is>
      </c>
      <c r="L25" s="52" t="inlineStr">
        <is>
          <t>2026-10-20</t>
        </is>
      </c>
      <c r="M25" s="51" t="inlineStr">
        <is>
          <t>reclean (cleaner change)</t>
        </is>
      </c>
      <c r="N25" s="51" t="n"/>
      <c r="O25" s="52" t="inlineStr">
        <is>
          <t>Yes</t>
        </is>
      </c>
      <c r="P25" s="51" t="n"/>
    </row>
    <row r="26" ht="94.05" customHeight="1">
      <c r="A26" s="3" t="inlineStr">
        <is>
          <t>GSDEER - A User's Guide</t>
        </is>
      </c>
      <c r="B26" s="3" t="inlineStr">
        <is>
          <t>Bhushan &amp; Cahill, Goldman Sachs</t>
        </is>
      </c>
      <c r="C26" s="4" t="inlineStr">
        <is>
          <t>2023</t>
        </is>
      </c>
      <c r="D26" s="4" t="n">
        <v>3</v>
      </c>
      <c r="E26" s="6" t="inlineStr">
        <is>
          <t>Yes</t>
        </is>
      </c>
      <c r="F26" s="3" t="inlineStr">
        <is>
          <t>Practitioner research note</t>
        </is>
      </c>
      <c r="G26" s="3" t="inlineStr">
        <is>
          <t>#applied_valuation_tools</t>
        </is>
      </c>
      <c r="H26" s="3" t="inlineStr">
        <is>
          <t>Goldman's own methodology note for its Dynamic Equilibrium Exchange Rate model (PPP adjusted for terms of trade and productivity) — documents which component actually drives fair value by currency (inflation for EUR/GBP/CAD, terms of trade for commodity exporters) and the empirical convergence timeline (~3 years to beat a random walk, ~5 years to fully converge, ~20%/year closure rate).</t>
        </is>
      </c>
      <c r="I26" s="3" t="n"/>
      <c r="J26" s="51" t="inlineStr">
        <is>
          <t>gsdeer_manual_guide (Goldman, 2023)</t>
        </is>
      </c>
      <c r="K26" s="53" t="inlineStr">
        <is>
          <t>Ingested</t>
        </is>
      </c>
      <c r="L26" s="52" t="inlineStr">
        <is>
          <t>2026-10-20</t>
        </is>
      </c>
      <c r="M26" s="51" t="inlineStr">
        <is>
          <t>reclean (cleaner change)</t>
        </is>
      </c>
      <c r="N26" s="51" t="n"/>
      <c r="O26" s="52" t="inlineStr">
        <is>
          <t>Yes</t>
        </is>
      </c>
      <c r="P26" s="51" t="n"/>
    </row>
    <row r="27" ht="94.05" customHeight="1">
      <c r="A27" s="3" t="inlineStr">
        <is>
          <t>Primer: GSDEER and GSFEER</t>
        </is>
      </c>
      <c r="B27" s="3" t="inlineStr">
        <is>
          <t>Alves &amp; Jenkins, Goldman Sachs</t>
        </is>
      </c>
      <c r="C27" s="4" t="inlineStr">
        <is>
          <t>2025</t>
        </is>
      </c>
      <c r="D27" s="4" t="n">
        <v>3</v>
      </c>
      <c r="E27" s="6" t="inlineStr">
        <is>
          <t>Yes</t>
        </is>
      </c>
      <c r="F27" s="3" t="inlineStr">
        <is>
          <t>Practitioner research note</t>
        </is>
      </c>
      <c r="G27" s="3" t="inlineStr">
        <is>
          <t>#applied_valuation_tools</t>
        </is>
      </c>
      <c r="H27" s="3" t="inlineStr">
        <is>
          <t>Introduces GSFEER (the macro-balance-approach cousin to GSDEER, based on the current-account gap vs. its savings/investment "norm") and Goldman's own model-blending weights by horizon. Flags that GSDEER and GSFEER currently give directionally different fair-value signals for BRL specifically, concluding carry and terms-of-trade dominate BRL price action over either anchor.</t>
        </is>
      </c>
      <c r="I27" s="3" t="n"/>
      <c r="J27" s="51" t="inlineStr">
        <is>
          <t>primer_gsdeer_gsfeer (Goldman, 2025)</t>
        </is>
      </c>
      <c r="K27" s="53" t="inlineStr">
        <is>
          <t>Ingested</t>
        </is>
      </c>
      <c r="L27" s="52" t="inlineStr">
        <is>
          <t>2026-10-20</t>
        </is>
      </c>
      <c r="M27" s="51" t="inlineStr">
        <is>
          <t>reclean (cleaner change)</t>
        </is>
      </c>
      <c r="N27" s="51" t="n"/>
      <c r="O27" s="52" t="inlineStr">
        <is>
          <t>Yes</t>
        </is>
      </c>
      <c r="P27" s="51" t="n"/>
    </row>
    <row r="28" ht="109.05" customHeight="1">
      <c r="A28" s="3" t="inlineStr">
        <is>
          <t>Capital Inflows: The Role of Controls (IMF SPN/10/04)</t>
        </is>
      </c>
      <c r="B28" s="3" t="inlineStr">
        <is>
          <t>Ostry, Ghosh, Habermeier, Chamon, Qureshi &amp; Reinhardt</t>
        </is>
      </c>
      <c r="C28" s="4" t="inlineStr">
        <is>
          <t>2010</t>
        </is>
      </c>
      <c r="D28" s="4" t="n">
        <v>4</v>
      </c>
      <c r="E28" s="6" t="inlineStr">
        <is>
          <t>Yes</t>
        </is>
      </c>
      <c r="F28" s="3" t="inlineStr">
        <is>
          <t>Paper</t>
        </is>
      </c>
      <c r="G28" s="3" t="inlineStr">
        <is>
          <t>#capital_controls</t>
        </is>
      </c>
      <c r="H28" s="3" t="inlineStr">
        <is>
          <t>The empirical/pragmatic precursor to the IMF's later institutional view — lays out a policy decision sequence (let the currency appreciate → accumulate reserves → sterilize → adjust monetary/fiscal policy → controls as last resort) and a four-condition test for when inflow controls are justified. Finds controls have little robust effect on aggregate inflow volume or appreciation, but real, demonstrable effects on the maturity composition of external liabilities.</t>
        </is>
      </c>
      <c r="I28" s="3" t="n"/>
      <c r="J28" s="51" t="inlineStr">
        <is>
          <t>capital_inflow (IMF, 2010)</t>
        </is>
      </c>
      <c r="K28" s="53" t="inlineStr">
        <is>
          <t>Ingested</t>
        </is>
      </c>
      <c r="L28" s="52" t="inlineStr">
        <is>
          <t>2026-10-20</t>
        </is>
      </c>
      <c r="M28" s="51" t="inlineStr">
        <is>
          <t>reclean (cleaner change)</t>
        </is>
      </c>
      <c r="N28" s="51" t="n"/>
      <c r="O28" s="52" t="n"/>
      <c r="P28" s="51" t="n"/>
    </row>
    <row r="29" ht="109.05" customHeight="1">
      <c r="A29" s="3" t="inlineStr">
        <is>
          <t>The Liberalization and Management of Capital Flows: An Institutional View</t>
        </is>
      </c>
      <c r="B29" s="3" t="inlineStr">
        <is>
          <t>IMF Staff (Arora, Habermeier, Ostry, Weeks-Brown et al.)</t>
        </is>
      </c>
      <c r="C29" s="4" t="inlineStr">
        <is>
          <t>2012</t>
        </is>
      </c>
      <c r="D29" s="4" t="n">
        <v>5</v>
      </c>
      <c r="E29" s="6" t="inlineStr">
        <is>
          <t>Yes</t>
        </is>
      </c>
      <c r="F29" s="3" t="inlineStr">
        <is>
          <t>Official institutional doctrine</t>
        </is>
      </c>
      <c r="G29" s="3" t="inlineStr">
        <is>
          <t>#capital_controls</t>
        </is>
      </c>
      <c r="H29" s="3" t="inlineStr">
        <is>
          <t>The IMF's own standing official doctrine on capital account liberalization and management — introduces the CFM/MPM terminology distinction, a liberalization sequencing framework ("long before short, FDI before debt, inflows before outflows"), and explicit design criteria (transparent, targeted, temporary, non-discriminatory) for when new controls are appropriate. The single most citable "what does official policy actually say" reference in this cluster.</t>
        </is>
      </c>
      <c r="I29" s="3" t="n"/>
      <c r="J29" s="51" t="inlineStr">
        <is>
          <t>the_liberalization_management_capital_flows (IMF, 2012)</t>
        </is>
      </c>
      <c r="K29" s="53" t="inlineStr">
        <is>
          <t>Ingested</t>
        </is>
      </c>
      <c r="L29" s="52" t="inlineStr">
        <is>
          <t>2026-10-20</t>
        </is>
      </c>
      <c r="M29" s="51" t="inlineStr">
        <is>
          <t>reclean (cleaner change)</t>
        </is>
      </c>
      <c r="N29" s="51" t="n"/>
      <c r="O29" s="52" t="n"/>
      <c r="P29" s="51" t="n"/>
    </row>
    <row r="30" ht="64.05" customHeight="1">
      <c r="A30" s="3" t="inlineStr">
        <is>
          <t>Capital Controls in Brazil: Effective?</t>
        </is>
      </c>
      <c r="B30" s="3" t="inlineStr">
        <is>
          <t>Chamon, M. &amp; Garcia, M.</t>
        </is>
      </c>
      <c r="C30" s="4" t="inlineStr">
        <is>
          <t>2016</t>
        </is>
      </c>
      <c r="D30" s="4" t="n">
        <v>4</v>
      </c>
      <c r="E30" s="18" t="inlineStr">
        <is>
          <t>Yes</t>
        </is>
      </c>
      <c r="F30" s="3" t="inlineStr">
        <is>
          <t>Paper</t>
        </is>
      </c>
      <c r="G30" s="3" t="inlineStr">
        <is>
          <t>#capital_controls</t>
        </is>
      </c>
      <c r="H30" s="3" t="inlineStr">
        <is>
          <t>Direct empirical test of Brazil's own 2008–2012 IOF-tax episode — the natural Brazil-specific complement the general capital-controls framework above is missing, and the base's most direct empirical evidence on whether Brazil's own use of the tool actually worked.</t>
        </is>
      </c>
      <c r="I30" s="3" t="n"/>
      <c r="J30" s="51" t="inlineStr">
        <is>
          <t>capital_controls_brazil (Chamon &amp; Garcia, 2016)</t>
        </is>
      </c>
      <c r="K30" s="53" t="inlineStr">
        <is>
          <t>Ingested</t>
        </is>
      </c>
      <c r="L30" s="52" t="inlineStr">
        <is>
          <t>2026-10-20</t>
        </is>
      </c>
      <c r="M30" s="51" t="inlineStr">
        <is>
          <t>reclean (cleaner change)</t>
        </is>
      </c>
      <c r="N30" s="51" t="n"/>
      <c r="O30" s="52" t="n"/>
      <c r="P30" s="51" t="n"/>
    </row>
    <row r="31" ht="79.05" customHeight="1">
      <c r="A31" s="3" t="inlineStr">
        <is>
          <t>Modelos Mentais de Cambio - Verde Asset Management (2020-2026)</t>
        </is>
      </c>
      <c r="B31" s="3" t="inlineStr">
        <is>
          <t>Verde Asset Management (internal synthesis)</t>
        </is>
      </c>
      <c r="C31" s="4" t="inlineStr">
        <is>
          <t>2020-2026</t>
        </is>
      </c>
      <c r="D31" s="4" t="n"/>
      <c r="E31" s="6" t="inlineStr">
        <is>
          <t>Yes</t>
        </is>
      </c>
      <c r="F31" s="3" t="inlineStr">
        <is>
          <t>Practitioner mental model</t>
        </is>
      </c>
      <c r="G31" s="3" t="inlineStr">
        <is>
          <t>#practitioner_mental_models</t>
        </is>
      </c>
      <c r="H31" s="3" t="inlineStr">
        <is>
          <t>Consolidated from 73 monthly letters (Jan/2020–May/2026), 507 identified mental-model instances, organized into 5 clusters (Brazil fiscal/credit/institutions; external fundamentals/commodities; carry &amp; rate differentials; global dollar cycle &amp; the Fed; flows/positioning/risk appetite), each with dated, quoted real-world applications.</t>
        </is>
      </c>
      <c r="I31" s="3" t="inlineStr">
        <is>
          <t>Mental-model synthesis status: Done</t>
        </is>
      </c>
      <c r="J31" s="51" t="n"/>
      <c r="K31" s="52" t="n"/>
      <c r="L31" s="52" t="n"/>
      <c r="M31" s="51" t="n"/>
      <c r="N31" s="51" t="n"/>
      <c r="O31" s="52" t="n"/>
      <c r="P31" s="51" t="n"/>
    </row>
    <row r="32" ht="34.05" customHeight="1">
      <c r="A32" s="3" t="inlineStr">
        <is>
          <t>Kinea Insights - mental-model synthesis</t>
        </is>
      </c>
      <c r="B32" s="3" t="inlineStr">
        <is>
          <t>Kinea Investimentos (internal synthesis, pending)</t>
        </is>
      </c>
      <c r="C32" s="4" t="inlineStr">
        <is>
          <t>2021-2026</t>
        </is>
      </c>
      <c r="D32" s="4" t="n"/>
      <c r="E32" s="5" t="inlineStr">
        <is>
          <t>Yes</t>
        </is>
      </c>
      <c r="F32" s="3" t="inlineStr">
        <is>
          <t>Practitioner mental model</t>
        </is>
      </c>
      <c r="G32" s="3" t="inlineStr">
        <is>
          <t>#practitioner_mental_models</t>
        </is>
      </c>
      <c r="H32" s="3" t="inlineStr">
        <is>
          <t>60 "Carta do Gestor" letters (repository/mental_model/kinea/) plus the 64 Kinea Insights notes (repository/mental_model/kinea_insights/).</t>
        </is>
      </c>
      <c r="I32" s="3" t="inlineStr">
        <is>
          <t>Mental-model synthesis status: Done</t>
        </is>
      </c>
      <c r="J32" s="51" t="n"/>
      <c r="K32" s="52" t="n"/>
      <c r="L32" s="52" t="n"/>
      <c r="M32" s="51" t="n"/>
      <c r="N32" s="51" t="n"/>
      <c r="O32" s="52" t="n"/>
      <c r="P32" s="51" t="n"/>
    </row>
    <row r="33" ht="34.05" customHeight="1">
      <c r="A33" s="3" t="inlineStr">
        <is>
          <t>Modelos Mentais de Câmbio — Kapitalo</t>
        </is>
      </c>
      <c r="B33" s="3" t="inlineStr">
        <is>
          <t>Kapitalo</t>
        </is>
      </c>
      <c r="C33" s="4" t="n"/>
      <c r="D33" s="4" t="n"/>
      <c r="E33" s="6" t="inlineStr">
        <is>
          <t>Yes</t>
        </is>
      </c>
      <c r="F33" s="3" t="inlineStr">
        <is>
          <t>Practitioner mental model</t>
        </is>
      </c>
      <c r="G33" s="3" t="inlineStr">
        <is>
          <t>#practitioner_mental_models</t>
        </is>
      </c>
      <c r="H33" s="3" t="inlineStr">
        <is>
          <t>83 K10 letters, Jul/2019–Mai/2026 (repository/mental_model/kapitalo/).</t>
        </is>
      </c>
      <c r="I33" s="3" t="inlineStr">
        <is>
          <t>Mental-model synthesis status: Done</t>
        </is>
      </c>
      <c r="J33" s="51" t="n"/>
      <c r="K33" s="52" t="n"/>
      <c r="L33" s="52" t="n"/>
      <c r="M33" s="51" t="n"/>
      <c r="N33" s="51" t="n"/>
      <c r="O33" s="52" t="n"/>
      <c r="P33" s="51" t="n"/>
    </row>
    <row r="34" ht="34.05" customHeight="1">
      <c r="A34" s="3" t="inlineStr">
        <is>
          <t>Goldman Sachs Global FX Trader</t>
        </is>
      </c>
      <c r="B34" s="3" t="inlineStr">
        <is>
          <t>Goldman Sachs Global FX Trader</t>
        </is>
      </c>
      <c r="C34" s="4" t="n"/>
      <c r="D34" s="4" t="n"/>
      <c r="E34" s="4" t="inlineStr">
        <is>
          <t>Partial</t>
        </is>
      </c>
      <c r="F34" s="3" t="inlineStr">
        <is>
          <t>Practitioner mental model</t>
        </is>
      </c>
      <c r="G34" s="3" t="inlineStr">
        <is>
          <t>#practitioner_mental_models</t>
        </is>
      </c>
      <c r="H34" s="3" t="inlineStr">
        <is>
          <t>First 25 of ~80 weekly issues processed (repository/mental_model/goldman_sachs/).</t>
        </is>
      </c>
      <c r="I34" s="3" t="inlineStr">
        <is>
          <t>Mental-model synthesis status: Partial</t>
        </is>
      </c>
      <c r="J34" s="51" t="n"/>
      <c r="K34" s="52" t="n"/>
      <c r="L34" s="52" t="n"/>
      <c r="M34" s="51" t="n"/>
      <c r="N34" s="51" t="n"/>
      <c r="O34" s="52" t="n"/>
      <c r="P34" s="51" t="n"/>
    </row>
    <row r="35" ht="34.05" customHeight="1">
      <c r="A35" s="3" t="inlineStr">
        <is>
          <t>SPX Capital</t>
        </is>
      </c>
      <c r="B35" s="3" t="inlineStr">
        <is>
          <t>SPX Capital</t>
        </is>
      </c>
      <c r="C35" s="4" t="n"/>
      <c r="D35" s="4" t="n"/>
      <c r="E35" s="5" t="inlineStr">
        <is>
          <t>No</t>
        </is>
      </c>
      <c r="F35" s="3" t="inlineStr">
        <is>
          <t>Practitioner mental model</t>
        </is>
      </c>
      <c r="G35" s="3" t="inlineStr">
        <is>
          <t>#practitioner_mental_models</t>
        </is>
      </c>
      <c r="H35" s="3" t="inlineStr">
        <is>
          <t>7 PDFs in repository/mental_model/spx_capital/, not reviewed.</t>
        </is>
      </c>
      <c r="I35" s="3" t="inlineStr">
        <is>
          <t>Mental-model synthesis status: Not built</t>
        </is>
      </c>
      <c r="J35" s="51" t="n"/>
      <c r="K35" s="52" t="n"/>
      <c r="L35" s="52" t="n"/>
      <c r="M35" s="51" t="n"/>
      <c r="N35" s="51" t="n"/>
      <c r="O35" s="52" t="n"/>
      <c r="P35" s="51" t="n"/>
    </row>
    <row r="36" ht="34.05" customHeight="1">
      <c r="A36" s="3" t="inlineStr">
        <is>
          <t>A Model of Balance-of-Payments Crises</t>
        </is>
      </c>
      <c r="B36" s="3" t="inlineStr">
        <is>
          <t>Krugman, P.</t>
        </is>
      </c>
      <c r="C36" s="4" t="inlineStr">
        <is>
          <t>1979</t>
        </is>
      </c>
      <c r="D36" s="4" t="n">
        <v>5</v>
      </c>
      <c r="E36" s="6" t="inlineStr">
        <is>
          <t>Yes</t>
        </is>
      </c>
      <c r="F36" s="3" t="inlineStr">
        <is>
          <t>Paper</t>
        </is>
      </c>
      <c r="G36" s="3" t="inlineStr">
        <is>
          <t>#currency_crisis_dynamics</t>
        </is>
      </c>
      <c r="H36" s="3" t="inlineStr">
        <is>
          <t>The founding first-generation crisis model - rational speculators attack before reserves would have run out anyway.</t>
        </is>
      </c>
      <c r="I36" s="3" t="n"/>
      <c r="J36" s="51" t="inlineStr">
        <is>
          <t>balance_of_payment_crisis (Krugman, 1979)</t>
        </is>
      </c>
      <c r="K36" s="53" t="inlineStr">
        <is>
          <t>Ingested</t>
        </is>
      </c>
      <c r="L36" s="52" t="inlineStr">
        <is>
          <t>2026-10-20</t>
        </is>
      </c>
      <c r="M36" s="51" t="inlineStr">
        <is>
          <t>reclean (cleaner change)</t>
        </is>
      </c>
      <c r="N36" s="51" t="n"/>
      <c r="O36" s="52" t="n"/>
      <c r="P36" s="51" t="n"/>
    </row>
    <row r="37" ht="34.05" customHeight="1">
      <c r="A37" s="3" t="inlineStr">
        <is>
          <t>Collapsing Exchange-Rate Regimes: Some Linear Examples</t>
        </is>
      </c>
      <c r="B37" s="3" t="inlineStr">
        <is>
          <t>Flood, R.P. &amp; Garber, P.M.</t>
        </is>
      </c>
      <c r="C37" s="4" t="inlineStr">
        <is>
          <t>1983</t>
        </is>
      </c>
      <c r="D37" s="4" t="n">
        <v>4</v>
      </c>
      <c r="E37" s="6" t="inlineStr">
        <is>
          <t>Yes</t>
        </is>
      </c>
      <c r="F37" s="3" t="inlineStr">
        <is>
          <t>Paper</t>
        </is>
      </c>
      <c r="G37" s="3" t="inlineStr">
        <is>
          <t>#currency_crisis_dynamics</t>
        </is>
      </c>
      <c r="H37" s="3" t="inlineStr">
        <is>
          <t>Standard linear, closed-form companion to Krugman (1979) - introduces the 'shadow exchange rate' technique for solving collapse timing.</t>
        </is>
      </c>
      <c r="I37" s="3" t="n"/>
      <c r="J37" s="51" t="inlineStr">
        <is>
          <t>collapsing_exchange_rate_regimes (Flood, 1983)</t>
        </is>
      </c>
      <c r="K37" s="53" t="inlineStr">
        <is>
          <t>Ingested</t>
        </is>
      </c>
      <c r="L37" s="52" t="inlineStr">
        <is>
          <t>2026-10-20</t>
        </is>
      </c>
      <c r="M37" s="51" t="inlineStr">
        <is>
          <t>reclean (cleaner change)</t>
        </is>
      </c>
      <c r="N37" s="51" t="n"/>
      <c r="O37" s="52" t="n"/>
      <c r="P37" s="51" t="n"/>
    </row>
    <row r="38" ht="34.05" customHeight="1">
      <c r="A38" s="3" t="inlineStr">
        <is>
          <t>Balance-of-Payments Crises and Devaluation (NBER WP 1486)</t>
        </is>
      </c>
      <c r="B38" s="3" t="inlineStr">
        <is>
          <t>Obstfeld, M.</t>
        </is>
      </c>
      <c r="C38" s="4" t="inlineStr">
        <is>
          <t>1984</t>
        </is>
      </c>
      <c r="D38" s="4" t="n">
        <v>5</v>
      </c>
      <c r="E38" s="6" t="inlineStr">
        <is>
          <t>Yes</t>
        </is>
      </c>
      <c r="F38" s="3" t="inlineStr">
        <is>
          <t>Paper</t>
        </is>
      </c>
      <c r="G38" s="3" t="inlineStr">
        <is>
          <t>#currency_crisis_dynamics</t>
        </is>
      </c>
      <c r="H38" s="3" t="inlineStr">
        <is>
          <t>The original second-generation, self-fulfilling crisis model - working-paper precursor to Obstfeld's canonical 1986 AER piece.</t>
        </is>
      </c>
      <c r="I38" s="3" t="n"/>
      <c r="J38" s="51" t="inlineStr">
        <is>
          <t>rational_self_fulfilling_bpc (Obstfeld, 1984)</t>
        </is>
      </c>
      <c r="K38" s="53" t="inlineStr">
        <is>
          <t>Ingested</t>
        </is>
      </c>
      <c r="L38" s="52" t="inlineStr">
        <is>
          <t>2026-10-20</t>
        </is>
      </c>
      <c r="M38" s="51" t="inlineStr">
        <is>
          <t>reclean (cleaner change)</t>
        </is>
      </c>
      <c r="N38" s="51" t="n"/>
      <c r="O38" s="52" t="n"/>
      <c r="P38" s="51" t="n"/>
    </row>
    <row r="39" ht="34.05" customHeight="1">
      <c r="A39" s="3" t="inlineStr">
        <is>
          <t>The Logic of Currency Crises (NBER WP 4640)</t>
        </is>
      </c>
      <c r="B39" s="3" t="inlineStr">
        <is>
          <t>Obstfeld, M.</t>
        </is>
      </c>
      <c r="C39" s="4" t="inlineStr">
        <is>
          <t>1994</t>
        </is>
      </c>
      <c r="D39" s="4" t="n">
        <v>3</v>
      </c>
      <c r="E39" s="18" t="inlineStr">
        <is>
          <t>Yes</t>
        </is>
      </c>
      <c r="F39" s="3" t="inlineStr">
        <is>
          <t>Paper (survey)</t>
        </is>
      </c>
      <c r="G39" s="3" t="inlineStr">
        <is>
          <t>#currency_crisis_dynamics</t>
        </is>
      </c>
      <c r="H39" s="3" t="inlineStr">
        <is>
          <t>Accessible single-source synthesis bridging first- and second-generation crisis logic.</t>
        </is>
      </c>
      <c r="I39" s="3" t="n"/>
      <c r="J39" s="51" t="inlineStr">
        <is>
          <t>logic_currency_crises (Obstfeld, 1994)</t>
        </is>
      </c>
      <c r="K39" s="53" t="inlineStr">
        <is>
          <t>Ingested</t>
        </is>
      </c>
      <c r="L39" s="52" t="inlineStr">
        <is>
          <t>2026-10-20</t>
        </is>
      </c>
      <c r="M39" s="51" t="inlineStr">
        <is>
          <t>reclean (cleaner change)</t>
        </is>
      </c>
      <c r="N39" s="51" t="n"/>
      <c r="O39" s="52" t="n"/>
      <c r="P39" s="51" t="n"/>
    </row>
    <row r="40" ht="94.05" customHeight="1">
      <c r="A40" s="3" t="inlineStr">
        <is>
          <t>Financial Crises in Emerging Markets: A Canonical Model</t>
        </is>
      </c>
      <c r="B40" s="3" t="inlineStr">
        <is>
          <t>Chang, R. &amp; Velasco, A.</t>
        </is>
      </c>
      <c r="C40" s="4" t="inlineStr">
        <is>
          <t>1998</t>
        </is>
      </c>
      <c r="D40" s="4" t="n">
        <v>5</v>
      </c>
      <c r="E40" s="6" t="inlineStr">
        <is>
          <t>Yes</t>
        </is>
      </c>
      <c r="F40" s="3" t="inlineStr">
        <is>
          <t>Paper</t>
        </is>
      </c>
      <c r="G40" s="3" t="inlineStr">
        <is>
          <t>#currency_crisis_dynamics</t>
        </is>
      </c>
      <c r="H40" s="3" t="inlineStr">
        <is>
          <t>One of two competing third-generation models of the 1997-98 Asian crisis - open-economy Diamond-Dybvig bank-run model.</t>
        </is>
      </c>
      <c r="I40" s="3" t="n"/>
      <c r="J40" s="51" t="inlineStr">
        <is>
          <t>financial_crises_emerging_markets (Chang, 1998)</t>
        </is>
      </c>
      <c r="K40" s="53" t="inlineStr">
        <is>
          <t>Ingested</t>
        </is>
      </c>
      <c r="L40" s="52" t="inlineStr">
        <is>
          <t>2026-10-20</t>
        </is>
      </c>
      <c r="M40" s="51" t="inlineStr">
        <is>
          <t>reclean (cleaner change)</t>
        </is>
      </c>
      <c r="N40" s="51" t="n"/>
      <c r="O40" s="52" t="n"/>
      <c r="P40" s="51" t="n"/>
    </row>
    <row r="41" ht="49.05" customHeight="1">
      <c r="A41" s="3" t="inlineStr">
        <is>
          <t>Balance Sheets, the Transfer Problem, and Financial Crises</t>
        </is>
      </c>
      <c r="B41" s="3" t="inlineStr">
        <is>
          <t>Krugman, P.</t>
        </is>
      </c>
      <c r="C41" s="4" t="inlineStr">
        <is>
          <t>2000</t>
        </is>
      </c>
      <c r="D41" s="4" t="n">
        <v>5</v>
      </c>
      <c r="E41" s="6" t="inlineStr">
        <is>
          <t>Yes</t>
        </is>
      </c>
      <c r="F41" s="3" t="inlineStr">
        <is>
          <t>Paper</t>
        </is>
      </c>
      <c r="G41" s="3" t="inlineStr">
        <is>
          <t>#currency_crisis_dynamics</t>
        </is>
      </c>
      <c r="H41" s="3" t="inlineStr">
        <is>
          <t>The other competing third-generation model - private-sector balance-sheet/currency-mismatch feedback loop; Krugman's own public reversal on self-fulfilling crises.</t>
        </is>
      </c>
      <c r="I41" s="3" t="n"/>
      <c r="J41" s="51" t="inlineStr">
        <is>
          <t>bs_transfer_problem_financial_crises (Krugman, 2000)</t>
        </is>
      </c>
      <c r="K41" s="53" t="inlineStr">
        <is>
          <t>Ingested</t>
        </is>
      </c>
      <c r="L41" s="52" t="inlineStr">
        <is>
          <t>2026-10-20</t>
        </is>
      </c>
      <c r="M41" s="51" t="inlineStr">
        <is>
          <t>reclean (cleaner change)</t>
        </is>
      </c>
      <c r="N41" s="51" t="n"/>
      <c r="O41" s="52" t="n"/>
      <c r="P41" s="51" t="n"/>
    </row>
    <row r="42" ht="49.05" customHeight="1">
      <c r="A42" s="3" t="inlineStr">
        <is>
          <t>Capital Flows, Capital Controls and Currency Crisis: The Case of Brazil in the Nineties</t>
        </is>
      </c>
      <c r="B42" s="3" t="inlineStr">
        <is>
          <t>Garcia, M. &amp; Valpassos, M.</t>
        </is>
      </c>
      <c r="C42" s="4" t="inlineStr">
        <is>
          <t>1998</t>
        </is>
      </c>
      <c r="D42" s="4" t="n">
        <v>3</v>
      </c>
      <c r="E42" s="31" t="inlineStr">
        <is>
          <t>Yes</t>
        </is>
      </c>
      <c r="F42" s="3" t="inlineStr">
        <is>
          <t>Paper</t>
        </is>
      </c>
      <c r="G42" s="3" t="inlineStr">
        <is>
          <t>#currency_crisis_dynamics</t>
        </is>
      </c>
      <c r="H42" s="3" t="inlineStr">
        <is>
          <t>Ties crisis theory directly to Brazil's own 1999 Real devaluation - the Brazil-specific case-study complement this cluster's otherwise non-Brazil model set is missing.</t>
        </is>
      </c>
      <c r="I42" s="3" t="n"/>
      <c r="J42" s="51" t="inlineStr">
        <is>
          <t>capital_flows_controls_brazil_nineties (Garcia &amp; Valpassos, 1998)</t>
        </is>
      </c>
      <c r="K42" s="53" t="inlineStr">
        <is>
          <t>Ingested</t>
        </is>
      </c>
      <c r="L42" s="52" t="inlineStr">
        <is>
          <t>2026-10-20</t>
        </is>
      </c>
      <c r="M42" s="51" t="inlineStr">
        <is>
          <t>reclean (cleaner change)</t>
        </is>
      </c>
      <c r="N42" s="51" t="n"/>
      <c r="O42" s="52" t="n"/>
      <c r="P42" s="51" t="n"/>
    </row>
    <row r="43" ht="64.05" customHeight="1">
      <c r="A43" s="15" t="inlineStr">
        <is>
          <t>Exchange Rate Pass-Through in Brazil (IMF WP 03/141)</t>
        </is>
      </c>
      <c r="B43" s="15" t="inlineStr">
        <is>
          <t>Belaisch, A.</t>
        </is>
      </c>
      <c r="C43" s="16" t="n">
        <v>2003</v>
      </c>
      <c r="D43" s="16" t="n">
        <v>4</v>
      </c>
      <c r="E43" s="17" t="inlineStr">
        <is>
          <t>Yes</t>
        </is>
      </c>
      <c r="F43" s="15" t="inlineStr">
        <is>
          <t>Paper</t>
        </is>
      </c>
      <c r="G43" s="15" t="inlineStr">
        <is>
          <t>#policy_transmission</t>
        </is>
      </c>
      <c r="H43" s="15" t="inlineStr">
        <is>
          <t>VAR estimates of Brazil's pass-through after the 2001-02 depreciation: lower than earlier estimates and than in other Latin American countries, closer to the G-7, but faster</t>
        </is>
      </c>
      <c r="I43" s="15" t="inlineStr">
        <is>
          <t>IMF Working Paper 03/141 (July 2003)</t>
        </is>
      </c>
      <c r="J43" s="51" t="inlineStr">
        <is>
          <t>depreciation_pass_through (Belaisch, 2003)</t>
        </is>
      </c>
      <c r="K43" s="53" t="inlineStr">
        <is>
          <t>Ingested</t>
        </is>
      </c>
      <c r="L43" s="52" t="inlineStr">
        <is>
          <t>2026-10-20</t>
        </is>
      </c>
      <c r="M43" s="51" t="inlineStr">
        <is>
          <t>reclean (cleaner change)</t>
        </is>
      </c>
      <c r="N43" s="51" t="n"/>
      <c r="O43" s="52" t="inlineStr">
        <is>
          <t>Yes</t>
        </is>
      </c>
      <c r="P43" s="51" t="n"/>
    </row>
    <row r="44" ht="64.05" customHeight="1">
      <c r="A44" s="15" t="inlineStr">
        <is>
          <t>The Pass-Through from Depreciation to Inflation: A Panel Study (PUC-Rio TD 423)</t>
        </is>
      </c>
      <c r="B44" s="15" t="inlineStr">
        <is>
          <t>Goldfajn, I. &amp; Werlang, S.</t>
        </is>
      </c>
      <c r="C44" s="16" t="n">
        <v>2000</v>
      </c>
      <c r="D44" s="16" t="n">
        <v>4</v>
      </c>
      <c r="E44" s="17" t="inlineStr">
        <is>
          <t>Yes</t>
        </is>
      </c>
      <c r="F44" s="15" t="inlineStr">
        <is>
          <t>Paper</t>
        </is>
      </c>
      <c r="G44" s="15" t="inlineStr">
        <is>
          <t>#policy_transmission</t>
        </is>
      </c>
      <c r="H44" s="15" t="inlineStr">
        <is>
          <t>Cross-country panel of pass-through from depreciation to inflation and its determinants (output cycle, initial real-exchange-rate overvaluation, initial inflation, openness); the standard reference for why pass-through varies</t>
        </is>
      </c>
      <c r="I44" s="15" t="inlineStr">
        <is>
          <t>PUC-Rio Texto para Discussão 423 (2000)</t>
        </is>
      </c>
      <c r="J44" s="51" t="inlineStr">
        <is>
          <t>depreciation_pass_through (Goldfajn, 2000)</t>
        </is>
      </c>
      <c r="K44" s="53" t="inlineStr">
        <is>
          <t>Ingested</t>
        </is>
      </c>
      <c r="L44" s="52" t="inlineStr">
        <is>
          <t>2026-10-20</t>
        </is>
      </c>
      <c r="M44" s="51" t="inlineStr">
        <is>
          <t>reclean (cleaner change)</t>
        </is>
      </c>
      <c r="N44" s="51" t="n"/>
      <c r="O44" s="52" t="inlineStr">
        <is>
          <t>Yes</t>
        </is>
      </c>
      <c r="P44" s="51" t="n"/>
    </row>
    <row r="45" ht="64.05" customHeight="1">
      <c r="A45" s="15" t="inlineStr">
        <is>
          <t>Padrões da transmissão cambial para taxa de inflação no Brasil (Nova Economia 33(2))</t>
        </is>
      </c>
      <c r="B45" s="15" t="inlineStr">
        <is>
          <t>Araújo, E., Caldarelli, C. &amp; Cortapasso, J.</t>
        </is>
      </c>
      <c r="C45" s="16" t="n">
        <v>2023</v>
      </c>
      <c r="D45" s="16" t="n">
        <v>3</v>
      </c>
      <c r="E45" s="17" t="inlineStr">
        <is>
          <t>Yes</t>
        </is>
      </c>
      <c r="F45" s="15" t="inlineStr">
        <is>
          <t>Paper</t>
        </is>
      </c>
      <c r="G45" s="15" t="inlineStr">
        <is>
          <t>#policy_transmission</t>
        </is>
      </c>
      <c r="H45" s="15" t="inlineStr">
        <is>
          <t>Brazil VAR 2002-2021: pass-through differs between appreciation and depreciation phases; the exchange rate used as a de facto price-control instrument under inflation targeting</t>
        </is>
      </c>
      <c r="I45" s="15" t="inlineStr">
        <is>
          <t>In Portuguese</t>
        </is>
      </c>
      <c r="J45" s="51" t="inlineStr">
        <is>
          <t>padrao_transmissao_cambial (Cortapasso, 2023)</t>
        </is>
      </c>
      <c r="K45" s="53" t="inlineStr">
        <is>
          <t>Ingested</t>
        </is>
      </c>
      <c r="L45" s="52" t="inlineStr">
        <is>
          <t>2026-10-20</t>
        </is>
      </c>
      <c r="M45" s="51" t="inlineStr">
        <is>
          <t>reclean (cleaner change)</t>
        </is>
      </c>
      <c r="N45" s="51" t="n"/>
      <c r="O45" s="52" t="inlineStr">
        <is>
          <t>Yes</t>
        </is>
      </c>
      <c r="P45" s="51" t="n"/>
    </row>
  </sheetData>
  <autoFilter ref="A1:P4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18791"/>
    <outlinePr summaryBelow="1" summaryRight="1"/>
    <pageSetUpPr/>
  </sheetPr>
  <dimension ref="A1:G38"/>
  <sheetViews>
    <sheetView showGridLines="0" zoomScale="70" zoomScaleNormal="55" workbookViewId="0">
      <pane ySplit="1" topLeftCell="A2" activePane="bottomLeft" state="frozen"/>
      <selection pane="bottomLeft" activeCell="H5" sqref="H5"/>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64.05" customHeight="1">
      <c r="A2" s="3" t="inlineStr">
        <is>
          <t>PTAX sell (spot)</t>
        </is>
      </c>
      <c r="B2" s="3" t="inlineStr">
        <is>
          <t>macro_brasil.cmb_ptax · ptax_venda (SGS 1)</t>
        </is>
      </c>
      <c r="C2" s="4" t="inlineStr">
        <is>
          <t>1994-07-01 → today, daily (Real Plan implementation — pre-Real data in extinct currencies excluded)</t>
        </is>
      </c>
      <c r="D2" s="4" t="n"/>
      <c r="E2" s="6" t="inlineStr">
        <is>
          <t>Yes</t>
        </is>
      </c>
      <c r="F2" s="3" t="inlineStr">
        <is>
          <t>1. Spot price</t>
        </is>
      </c>
      <c r="G2" s="3" t="n"/>
    </row>
    <row r="3" ht="34.05" customHeight="1">
      <c r="A3" s="3" t="inlineStr">
        <is>
          <t>Interbank FX volume, T+1/T+2 settlement</t>
        </is>
      </c>
      <c r="B3" s="3" t="inlineStr">
        <is>
          <t>macro_brasil.cmb_ptax · fx_interbank_vol_t1 (SGS 20359), fx_interbank_vol_t2 (SGS 20205)</t>
        </is>
      </c>
      <c r="C3" s="4" t="inlineStr">
        <is>
          <t>1994-07-04 → today, daily</t>
        </is>
      </c>
      <c r="D3" s="4" t="n"/>
      <c r="E3" s="6" t="inlineStr">
        <is>
          <t>Yes</t>
        </is>
      </c>
      <c r="F3" s="3" t="inlineStr">
        <is>
          <t>1. Spot price</t>
        </is>
      </c>
      <c r="G3" s="3" t="n"/>
    </row>
    <row r="4" ht="34.05" customHeight="1">
      <c r="A4" s="3" t="inlineStr">
        <is>
          <t>Selic (raw)</t>
        </is>
      </c>
      <c r="B4" s="3" t="inlineStr">
        <is>
          <t>macro_international.diferenciais_juros · selic</t>
        </is>
      </c>
      <c r="C4" s="4" t="inlineStr">
        <is>
          <t>1999-03 → today (SGS 432 has no earlier data)</t>
        </is>
      </c>
      <c r="D4" s="4" t="n"/>
      <c r="E4" s="6" t="inlineStr">
        <is>
          <t>Yes</t>
        </is>
      </c>
      <c r="F4" s="3" t="inlineStr">
        <is>
          <t>2. Interest rate differential (carry)</t>
        </is>
      </c>
      <c r="G4" s="3" t="n"/>
    </row>
    <row r="5" ht="34.05" customHeight="1">
      <c r="A5" s="3" t="inlineStr">
        <is>
          <t>Fed Funds (raw)</t>
        </is>
      </c>
      <c r="B5" s="3" t="inlineStr">
        <is>
          <t>macro_international.diferenciais_juros · fed_funds</t>
        </is>
      </c>
      <c r="C5" s="4" t="inlineStr">
        <is>
          <t>1995 → today</t>
        </is>
      </c>
      <c r="D5" s="4" t="n"/>
      <c r="E5" s="6" t="inlineStr">
        <is>
          <t>Yes</t>
        </is>
      </c>
      <c r="F5" s="3" t="inlineStr">
        <is>
          <t>2. Interest rate differential (carry)</t>
        </is>
      </c>
      <c r="G5" s="3" t="n"/>
    </row>
    <row r="6" ht="34.05" customHeight="1">
      <c r="A6" s="3" t="inlineStr">
        <is>
          <t>Nominal ex-post differential</t>
        </is>
      </c>
      <c r="B6" s="3" t="inlineStr">
        <is>
          <t>macro_international.diferenciais_juros · diferencial_nominal</t>
        </is>
      </c>
      <c r="C6" s="4" t="inlineStr">
        <is>
          <t>1999-03 → today</t>
        </is>
      </c>
      <c r="D6" s="4" t="n"/>
      <c r="E6" s="6" t="inlineStr">
        <is>
          <t>Yes</t>
        </is>
      </c>
      <c r="F6" s="3" t="inlineStr">
        <is>
          <t>2. Interest rate differential (carry)</t>
        </is>
      </c>
      <c r="G6" s="3" t="n"/>
    </row>
    <row r="7" ht="34.05" customHeight="1">
      <c r="A7" s="3" t="inlineStr">
        <is>
          <t>Real ex-post differential (Selic − IPCA vs. Fed Funds − CPI)</t>
        </is>
      </c>
      <c r="B7" s="3" t="inlineStr">
        <is>
          <t>macro_international.diferenciais_juros · real_br_ex_post, real_us_ex_post, diferencial_real</t>
        </is>
      </c>
      <c r="C7" s="4" t="inlineStr">
        <is>
          <t>1999-03 → today</t>
        </is>
      </c>
      <c r="D7" s="4" t="n"/>
      <c r="E7" s="6" t="inlineStr">
        <is>
          <t>Yes</t>
        </is>
      </c>
      <c r="F7" s="3" t="inlineStr">
        <is>
          <t>2. Interest rate differential (carry)</t>
        </is>
      </c>
      <c r="G7" s="3" t="n"/>
    </row>
    <row r="8" ht="34.05" customHeight="1">
      <c r="A8" s="3" t="inlineStr">
        <is>
          <t>Terms of trade index (PX/PM, base 2018=100)</t>
        </is>
      </c>
      <c r="B8" s="3" t="inlineStr">
        <is>
          <t>macro_brasil.cmb_termos_troca · termos_de_troca_funcex (IPEADATA FUNCEX12_TTR12)</t>
        </is>
      </c>
      <c r="C8" s="4" t="n"/>
      <c r="D8" s="4" t="n"/>
      <c r="E8" s="6" t="inlineStr">
        <is>
          <t>Yes</t>
        </is>
      </c>
      <c r="F8" s="3" t="inlineStr">
        <is>
          <t>3. Terms of trade / commodity prices</t>
        </is>
      </c>
      <c r="G8" s="3" t="inlineStr">
        <is>
          <t>1978 → today, monthly</t>
        </is>
      </c>
    </row>
    <row r="9" ht="34.05" customHeight="1">
      <c r="A9" s="3" t="inlineStr">
        <is>
          <t>Current account, trade balance+services, goods exports</t>
        </is>
      </c>
      <c r="B9" s="3" t="inlineStr">
        <is>
          <t>macro_brasil.cmb_balanco_pagmt · conta_corrente, balanca_comercial_servicos, exportacao_bens</t>
        </is>
      </c>
      <c r="C9" s="4" t="inlineStr">
        <is>
          <t>2001 → today</t>
        </is>
      </c>
      <c r="D9" s="4" t="n"/>
      <c r="E9" s="6" t="inlineStr">
        <is>
          <t>Yes</t>
        </is>
      </c>
      <c r="F9" s="3" t="inlineStr">
        <is>
          <t>4. Balance of payments</t>
        </is>
      </c>
      <c r="G9" s="3" t="n"/>
    </row>
    <row r="10" ht="49.05" customHeight="1">
      <c r="A10" s="3" t="inlineStr">
        <is>
          <t>Financial account, FDI (net and inflows), outward FDI</t>
        </is>
      </c>
      <c r="B10" s="3" t="inlineStr">
        <is>
          <t>macro_brasil.cmb_balanco_pagmt · conta_financeira, investimento_direto_liquido, idp_ingressos, ide_saidas</t>
        </is>
      </c>
      <c r="C10" s="4" t="inlineStr">
        <is>
          <t>2001 → today</t>
        </is>
      </c>
      <c r="D10" s="4" t="n"/>
      <c r="E10" s="6" t="inlineStr">
        <is>
          <t>Yes</t>
        </is>
      </c>
      <c r="F10" s="3" t="inlineStr">
        <is>
          <t>4. Balance of payments</t>
        </is>
      </c>
      <c r="G10" s="3" t="n"/>
    </row>
    <row r="11" ht="34.05" customHeight="1">
      <c r="A11" s="3" t="inlineStr">
        <is>
          <t>Portfolio investment (total, equities, fixed income)</t>
        </is>
      </c>
      <c r="B11" s="3" t="inlineStr">
        <is>
          <t>macro_brasil.cmb_balanco_pagmt · investimento_carteira, carteira_acoes, carteira_renda_fixa</t>
        </is>
      </c>
      <c r="C11" s="4" t="inlineStr">
        <is>
          <t>2001 → today</t>
        </is>
      </c>
      <c r="D11" s="4" t="n"/>
      <c r="E11" s="6" t="inlineStr">
        <is>
          <t>Yes</t>
        </is>
      </c>
      <c r="F11" s="3" t="inlineStr">
        <is>
          <t>4. Balance of payments</t>
        </is>
      </c>
      <c r="G11" s="3" t="n"/>
    </row>
    <row r="12" ht="34.05" customHeight="1">
      <c r="A12" s="3" t="inlineStr">
        <is>
          <t>Total balance/inflow/outflow</t>
        </is>
      </c>
      <c r="B12" s="3" t="inlineStr">
        <is>
          <t>macro_brasil.cmb_fluxo_cambial · total_saldo, total_entrada, total_saida</t>
        </is>
      </c>
      <c r="C12" s="4" t="n"/>
      <c r="D12" s="4" t="n"/>
      <c r="E12" s="6" t="inlineStr">
        <is>
          <t>Yes</t>
        </is>
      </c>
      <c r="F12" s="3" t="inlineStr">
        <is>
          <t>5a. Registered FX flow (BCB Nota Cambial)</t>
        </is>
      </c>
      <c r="G12" s="3" t="n"/>
    </row>
    <row r="13" ht="34.05" customHeight="1">
      <c r="A13" s="3" t="inlineStr">
        <is>
          <t>Commercial sector (inflow/outflow)</t>
        </is>
      </c>
      <c r="B13" s="3" t="inlineStr">
        <is>
          <t>macro_brasil.cmb_fluxo_cambial · comercial_entrada, comercial_saida</t>
        </is>
      </c>
      <c r="C13" s="4" t="n"/>
      <c r="D13" s="4" t="n"/>
      <c r="E13" s="6" t="inlineStr">
        <is>
          <t>Yes</t>
        </is>
      </c>
      <c r="F13" s="3" t="inlineStr">
        <is>
          <t>5a. Registered FX flow (BCB Nota Cambial)</t>
        </is>
      </c>
      <c r="G13" s="3" t="n"/>
    </row>
    <row r="14" ht="34.05" customHeight="1">
      <c r="A14" s="3" t="inlineStr">
        <is>
          <t>Financial sector (balance)</t>
        </is>
      </c>
      <c r="B14" s="3" t="inlineStr">
        <is>
          <t>macro_brasil.cmb_fluxo_cambial · financeiro_saldo</t>
        </is>
      </c>
      <c r="C14" s="4" t="n"/>
      <c r="D14" s="4" t="n"/>
      <c r="E14" s="6" t="inlineStr">
        <is>
          <t>Yes</t>
        </is>
      </c>
      <c r="F14" s="3" t="inlineStr">
        <is>
          <t>5a. Registered FX flow (BCB Nota Cambial)</t>
        </is>
      </c>
      <c r="G14" s="3" t="n"/>
    </row>
    <row r="15" ht="64.05" customHeight="1">
      <c r="A15" s="3" t="inlineStr">
        <is>
          <t>Daily — total balance, exports (total/ACC/PA/other), imports, commercial balance, financial purchases/sales/balance</t>
        </is>
      </c>
      <c r="B15" s="3" t="inlineStr">
        <is>
          <t>macro_brasil.cmb_cambio_contratado · cc_saldo_total, cc_export_*, cc_import_total, cc_saldo_comercial, cc_fin_compras, cc_fin_vendas, cc_fin_saldo</t>
        </is>
      </c>
      <c r="C15" s="4" t="n"/>
      <c r="D15" s="4" t="n"/>
      <c r="E15" s="6" t="inlineStr">
        <is>
          <t>Yes</t>
        </is>
      </c>
      <c r="F15" s="3" t="inlineStr">
        <is>
          <t>5b. Contracted FX (bank-client movement)</t>
        </is>
      </c>
      <c r="G15" s="3" t="n"/>
    </row>
    <row r="16" ht="49.05" customHeight="1">
      <c r="A16" s="3" t="inlineStr">
        <is>
          <t>Monthly — detailed financial breakdown (services, income, domestic/foreign capital)</t>
        </is>
      </c>
      <c r="B16" s="3" t="inlineStr">
        <is>
          <t>macro_brasil.cmb_cambio_contratado · cc_fin_saldo_det, cc_fin_servicos, cc_fin_rendas, cc_fin_cap_bras, cc_fin_cap_ext</t>
        </is>
      </c>
      <c r="C16" s="4" t="n"/>
      <c r="D16" s="4" t="n"/>
      <c r="E16" s="6" t="inlineStr">
        <is>
          <t>Yes</t>
        </is>
      </c>
      <c r="F16" s="3" t="inlineStr">
        <is>
          <t>5b. Contracted FX (bank-client movement)</t>
        </is>
      </c>
      <c r="G16" s="3" t="n"/>
    </row>
    <row r="17" ht="34.05" customHeight="1">
      <c r="A17" s="3" t="inlineStr">
        <is>
          <t>Total reserves and by component (FX securities, deposits, IMF, SDR, gold, other assets)</t>
        </is>
      </c>
      <c r="B17" s="3" t="inlineStr">
        <is>
          <t>macro_brasil.cmb_reservas_bc</t>
        </is>
      </c>
      <c r="C17" s="4" t="inlineStr">
        <is>
          <t>monthly</t>
        </is>
      </c>
      <c r="D17" s="4" t="n"/>
      <c r="E17" s="6" t="inlineStr">
        <is>
          <t>Yes</t>
        </is>
      </c>
      <c r="F17" s="3" t="inlineStr">
        <is>
          <t>6. International reserves and BCB intervention</t>
        </is>
      </c>
      <c r="G17" s="3" t="n"/>
    </row>
    <row r="18" ht="34.05" customHeight="1">
      <c r="A18" s="3" t="inlineStr">
        <is>
          <t>Reserves — total and liquidity concept</t>
        </is>
      </c>
      <c r="B18" s="3" t="inlineStr">
        <is>
          <t>macro_brasil.cmb_reservas_bc</t>
        </is>
      </c>
      <c r="C18" s="4" t="inlineStr">
        <is>
          <t>daily</t>
        </is>
      </c>
      <c r="D18" s="4" t="n"/>
      <c r="E18" s="6" t="inlineStr">
        <is>
          <t>Yes</t>
        </is>
      </c>
      <c r="F18" s="3" t="inlineStr">
        <is>
          <t>6. International reserves and BCB intervention</t>
        </is>
      </c>
      <c r="G18" s="3" t="n"/>
    </row>
    <row r="19" ht="34.05" customHeight="1">
      <c r="A19" s="3" t="inlineStr">
        <is>
          <t>Banks' net FX spot position</t>
        </is>
      </c>
      <c r="B19" s="3" t="inlineStr">
        <is>
          <t>macro_brasil.cmb_reservas_bc</t>
        </is>
      </c>
      <c r="C19" s="4" t="inlineStr">
        <is>
          <t>monthly</t>
        </is>
      </c>
      <c r="D19" s="4" t="n"/>
      <c r="E19" s="6" t="inlineStr">
        <is>
          <t>Yes</t>
        </is>
      </c>
      <c r="F19" s="3" t="inlineStr">
        <is>
          <t>6. International reserves and BCB intervention</t>
        </is>
      </c>
      <c r="G19" s="3" t="n"/>
    </row>
    <row r="20" ht="34.05" customHeight="1">
      <c r="A20" s="3" t="inlineStr">
        <is>
          <t>BCB FX swap — net position</t>
        </is>
      </c>
      <c r="B20" s="3" t="inlineStr">
        <is>
          <t>macro_brasil.cmb_reservas_bc</t>
        </is>
      </c>
      <c r="C20" s="4" t="inlineStr">
        <is>
          <t>monthly</t>
        </is>
      </c>
      <c r="D20" s="4" t="n"/>
      <c r="E20" s="6" t="inlineStr">
        <is>
          <t>Yes</t>
        </is>
      </c>
      <c r="F20" s="3" t="inlineStr">
        <is>
          <t>6. International reserves and BCB intervention</t>
        </is>
      </c>
      <c r="G20" s="3" t="n"/>
    </row>
    <row r="21" ht="34.05" customHeight="1">
      <c r="A21" s="3" t="inlineStr">
        <is>
          <t>Stock of repo lines/loans/repurchase agreements in FX</t>
        </is>
      </c>
      <c r="B21" s="3" t="inlineStr">
        <is>
          <t>macro_brasil.cmb_reservas_bc</t>
        </is>
      </c>
      <c r="C21" s="4" t="inlineStr">
        <is>
          <t>monthly</t>
        </is>
      </c>
      <c r="D21" s="4" t="n"/>
      <c r="E21" s="6" t="inlineStr">
        <is>
          <t>Yes</t>
        </is>
      </c>
      <c r="F21" s="3" t="inlineStr">
        <is>
          <t>6. International reserves and BCB intervention</t>
        </is>
      </c>
      <c r="G21" s="3" t="n"/>
    </row>
    <row r="22" ht="34.05" customHeight="1">
      <c r="A22" s="3" t="inlineStr">
        <is>
          <t>BCB interventions (spot, forwards, FX loans/repos, repo lines) — only days with actual intervention</t>
        </is>
      </c>
      <c r="B22" s="3" t="inlineStr">
        <is>
          <t>macro_brasil.cmb_reservas_bc</t>
        </is>
      </c>
      <c r="C22" s="4" t="inlineStr">
        <is>
          <t>daily (sparse)</t>
        </is>
      </c>
      <c r="D22" s="4" t="n"/>
      <c r="E22" s="6" t="inlineStr">
        <is>
          <t>Yes</t>
        </is>
      </c>
      <c r="F22" s="3" t="inlineStr">
        <is>
          <t>6. International reserves and BCB intervention</t>
        </is>
      </c>
      <c r="G22" s="3" t="n"/>
    </row>
    <row r="23" ht="34.05" customHeight="1">
      <c r="A23" s="3" t="inlineStr">
        <is>
          <t>Real (broad) and nominal (broad) REER — Brazil, Mexico, Chile, Colombia</t>
        </is>
      </c>
      <c r="B23" s="3" t="inlineStr">
        <is>
          <t>macro_international.cmb_reer</t>
        </is>
      </c>
      <c r="C23" s="4" t="inlineStr">
        <is>
          <t>1994 → today (BIS, full history)</t>
        </is>
      </c>
      <c r="D23" s="4" t="n"/>
      <c r="E23" s="6" t="inlineStr">
        <is>
          <t>Yes</t>
        </is>
      </c>
      <c r="F23" s="3" t="inlineStr">
        <is>
          <t>7. Real effective exchange rate (REER)</t>
        </is>
      </c>
      <c r="G23" s="3" t="n"/>
    </row>
    <row r="24" ht="49.05" customHeight="1">
      <c r="A24" s="3" t="inlineStr">
        <is>
          <t>Open interest, net/long/short positioning of "leveraged money" and non-reportables</t>
        </is>
      </c>
      <c r="B24" s="3" t="inlineStr">
        <is>
          <t>macro_international.cmb_cot_fx · open_interest, lev_long, lev_short, lev_net, nonrept_long, nonrept_short</t>
        </is>
      </c>
      <c r="C24" s="4" t="inlineStr">
        <is>
          <t>BRL and MXN, weekly (Tuesdays), 2010 → today</t>
        </is>
      </c>
      <c r="D24" s="4" t="n"/>
      <c r="E24" s="6" t="inlineStr">
        <is>
          <t>Yes</t>
        </is>
      </c>
      <c r="F24" s="3" t="inlineStr">
        <is>
          <t>8. Speculative positioning (FX futures)</t>
        </is>
      </c>
      <c r="G24" s="3" t="n"/>
    </row>
    <row r="25" ht="34.05" customHeight="1">
      <c r="A25" s="3" t="inlineStr">
        <is>
          <t>IPCA (28 series, incl. cores)</t>
        </is>
      </c>
      <c r="B25" s="3" t="inlineStr">
        <is>
          <t>macro_brasil.inflc_agregados</t>
        </is>
      </c>
      <c r="C25" s="4" t="n"/>
      <c r="D25" s="4" t="n"/>
      <c r="E25" s="6" t="inlineStr">
        <is>
          <t>Yes</t>
        </is>
      </c>
      <c r="F25" s="3" t="inlineStr">
        <is>
          <t>9. Inflation differential and market expectations</t>
        </is>
      </c>
      <c r="G25" s="3" t="inlineStr">
        <is>
          <t>1980 → today</t>
        </is>
      </c>
    </row>
    <row r="26" ht="34.05" customHeight="1">
      <c r="A26" s="3" t="inlineStr">
        <is>
          <t>Focus expectations — IPCA 12m/24m, IGP-M, Selic</t>
        </is>
      </c>
      <c r="B26" s="3" t="inlineStr">
        <is>
          <t>macro_brasil.expc_focus</t>
        </is>
      </c>
      <c r="C26" s="4" t="n"/>
      <c r="D26" s="4" t="n"/>
      <c r="E26" s="6" t="inlineStr">
        <is>
          <t>Yes</t>
        </is>
      </c>
      <c r="F26" s="3" t="inlineStr">
        <is>
          <t>9. Inflation differential and market expectations</t>
        </is>
      </c>
      <c r="G26" s="3" t="inlineStr">
        <is>
          <t>2001 → today
Mr. Paulo suggestion</t>
        </is>
      </c>
    </row>
    <row r="27" ht="34.05" customHeight="1">
      <c r="A27" s="3" t="inlineStr">
        <is>
          <t>US CPI (via FRED, consumed inside the differentials calculation)</t>
        </is>
      </c>
      <c r="B27" s="3" t="inlineStr">
        <is>
          <t>macro_international.diferenciais_juros (cpi_12m_us)</t>
        </is>
      </c>
      <c r="C27" s="4" t="n"/>
      <c r="D27" s="4" t="n"/>
      <c r="E27" s="6" t="inlineStr">
        <is>
          <t>Yes</t>
        </is>
      </c>
      <c r="F27" s="3" t="inlineStr">
        <is>
          <t>9. Inflation differential and market expectations</t>
        </is>
      </c>
      <c r="G27" s="3" t="inlineStr">
        <is>
          <t>~36m rolling</t>
        </is>
      </c>
    </row>
    <row r="28" ht="64.05" customHeight="1">
      <c r="A28" s="3" t="inlineStr">
        <is>
          <t>Ex-ante interest rate differentials (Focus × Fed Funds futures/OIS)</t>
        </is>
      </c>
      <c r="B28" s="3" t="n"/>
      <c r="C28" s="4" t="n"/>
      <c r="D28" s="4" t="inlineStr">
        <is>
          <t>High</t>
        </is>
      </c>
      <c r="E28" s="5" t="inlineStr">
        <is>
          <t>No</t>
        </is>
      </c>
      <c r="F28" s="3" t="inlineStr">
        <is>
          <t>2. Interest rate differential (carry)</t>
        </is>
      </c>
      <c r="G28" s="3" t="inlineStr">
        <is>
          <t>Ex-ante differentials (based on expectations, not realized inflation) not implemented yet — see the pending item in analytics/brasil/exchange_rate/CLAUDE.md, uses macro_brasil.expc_focus (Focus) on the BR side and FRED (FF{m} futures/OIS, MICH/T5YIE) on the US side.</t>
        </is>
      </c>
    </row>
    <row r="29" ht="94.05" customHeight="1">
      <c r="A29" s="3" t="inlineStr">
        <is>
          <t>CEP/CBE granularity of the financial FX flow</t>
        </is>
      </c>
      <c r="B29" s="3" t="n"/>
      <c r="C29" s="4" t="n"/>
      <c r="D29" s="4" t="inlineStr">
        <is>
          <t>Medium</t>
        </is>
      </c>
      <c r="E29" s="5" t="inlineStr">
        <is>
          <t>No</t>
        </is>
      </c>
      <c r="F29" s="3" t="inlineStr">
        <is>
          <t>5a. Registered FX flow (BCB Nota Cambial)</t>
        </is>
      </c>
      <c r="G29" s="3" t="inlineStr">
        <is>
          <t>Script: domain/db/brasil/bcb/cmb_fluxo_cambial.py. Coverage: 2003 → today. Gaps: CEP/CBE sub-items of the financial flow (finer granularity, published in the weekly Nota Cambial) — candidate SGS codes (24372–24376) unconfirmed. Commercial balance (24366) timed out during research — can be derived as comercial_entrada − comercial_saida if needed.</t>
        </is>
      </c>
    </row>
    <row r="30" ht="124.05" customHeight="1">
      <c r="A30" s="3" t="inlineStr">
        <is>
          <t>Wire cmb_ptax into the analysis agent's snapshot (agent_data.py)</t>
        </is>
      </c>
      <c r="B30" s="3" t="n"/>
      <c r="C30" s="4" t="n"/>
      <c r="D30" s="4" t="inlineStr">
        <is>
          <t>Medium</t>
        </is>
      </c>
      <c r="E30" s="5" t="inlineStr">
        <is>
          <t>No</t>
        </is>
      </c>
      <c r="F30" s="3" t="inlineStr">
        <is>
          <t>1. Spot price</t>
        </is>
      </c>
      <c r="G30" s="3" t="inlineStr">
        <is>
          <t>Why it matters: the dependent variable — every other category in this inventory exists to explain moves in this one series. Script: domain/db/brasil/bcb/cmb_ptax.py. Daily series — historical load chunks by year (BCB API rejects windows &gt; 10 years for daily series, confirmed via 406 response). Remaining gap: the analysis agent (analytics/brasil/exchange_rate/agent_data.py) hasn't been updated yet to pull cmb_ptax into its snapshot — the data exists but isn't wired into the agent's output.</t>
        </is>
      </c>
    </row>
    <row r="31" ht="34.05" customHeight="1">
      <c r="A31" s="3" t="inlineStr">
        <is>
          <t>Cupom cambial + B3 futures (requires Bloomberg access)</t>
        </is>
      </c>
      <c r="B31" s="3" t="n"/>
      <c r="C31" s="4" t="n"/>
      <c r="D31" s="4" t="inlineStr">
        <is>
          <t>Low</t>
        </is>
      </c>
      <c r="E31" s="5" t="inlineStr">
        <is>
          <t>No</t>
        </is>
      </c>
      <c r="F31" s="3" t="inlineStr">
        <is>
          <t>2. Interest rate differential (carry)</t>
        </is>
      </c>
      <c r="G31" s="3" t="inlineStr">
        <is>
          <t>Cupom cambial (DDI/FRC curve) and B3 futures (DOL/WDO) — deferred, requires Bloomberg access (blpapi/xbbg).</t>
        </is>
      </c>
    </row>
    <row r="32" ht="49.05" customHeight="1">
      <c r="A32" s="3" t="inlineStr">
        <is>
          <t>REER/COT for EM peers beyond BR/MX/CL/CO</t>
        </is>
      </c>
      <c r="B32" s="3" t="n"/>
      <c r="C32" s="4" t="n"/>
      <c r="D32" s="4" t="inlineStr">
        <is>
          <t>Low</t>
        </is>
      </c>
      <c r="E32" s="5" t="inlineStr">
        <is>
          <t>No</t>
        </is>
      </c>
      <c r="F32" s="3" t="inlineStr">
        <is>
          <t>7. Real effective exchange rate (REER)</t>
        </is>
      </c>
      <c r="G32" s="3" t="inlineStr">
        <is>
          <t>Only 4 LatAm countries (BR/MX/CL/CO) — no coverage of other relevant EM peers for comparison (e.g., Turkey, South Africa, India) or developed-market peers.</t>
        </is>
      </c>
    </row>
    <row r="33" ht="49.05" customHeight="1">
      <c r="A33" s="3" t="inlineStr">
        <is>
          <t>Options-based positioning data (skew, risk reversal)</t>
        </is>
      </c>
      <c r="B33" s="3" t="n"/>
      <c r="C33" s="4" t="n"/>
      <c r="D33" s="4" t="inlineStr">
        <is>
          <t>Low</t>
        </is>
      </c>
      <c r="E33" s="5" t="inlineStr">
        <is>
          <t>No</t>
        </is>
      </c>
      <c r="F33" s="3" t="inlineStr">
        <is>
          <t>8. Speculative positioning (FX futures)</t>
        </is>
      </c>
      <c r="G33" s="3" t="inlineStr">
        <is>
          <t>No options-based positioning data (skew, risk reversal) — see the corresponding gap in the bibliography (exchange_rate_bibliography_gaps.md, section 4, FX options and volatility).</t>
        </is>
      </c>
    </row>
    <row r="34" ht="199.05" customHeight="1">
      <c r="A34" s="3" t="inlineStr">
        <is>
          <t>Persistent macro_us schema (today only ad hoc FRED in the oráculo)</t>
        </is>
      </c>
      <c r="B34" s="3" t="n"/>
      <c r="C34" s="4" t="n"/>
      <c r="D34" s="4" t="inlineStr">
        <is>
          <t>Low</t>
        </is>
      </c>
      <c r="E34" s="5" t="inlineStr">
        <is>
          <t>No</t>
        </is>
      </c>
      <c r="F34" s="3" t="inlineStr">
        <is>
          <t>10. Domestic activity backdrop (context, not FX-specific)</t>
        </is>
      </c>
      <c r="G34" s="3" t="inlineStr">
        <is>
          <t>Not an FX category, kept as context. The presentation-layer copy merged in here dropped this section outright, on the grounds that it is general macro backdrop rather than FX-specific data — a fair call for a reading audience, but the series are worth keeping listed for the agent. General macro_brasil series that help contextualize the domestic cycle (relevant for carry/country risk, but not "FX data" per se): atv_ibcbr (monthly GDP proxy), atv_pib, atv_pim (industrial production), atv_pmc/atv_pms (retail/services), mt_pnad (labor market), mt_caged, cred_credito_amplo, cred_credito_familias. Full table in CLAUDE.md. On the US side, activity/inflation data today only exists ad hoc inside analytics/oraculo/us/term_us.py (via FRED) — there's no persistent macro_us schema equivalent to macro_brasil (already logged as a pending item in CLAUDE.md, "Média prioridade — US expandir dados").</t>
        </is>
      </c>
    </row>
    <row r="35" ht="49.05" customHeight="1">
      <c r="A35" s="3" t="inlineStr">
        <is>
          <t>No individual commodity prices (iron ore, soybeans, oil)</t>
        </is>
      </c>
      <c r="B35" s="3" t="n"/>
      <c r="C35" s="4" t="n"/>
      <c r="D35" s="4" t="n"/>
      <c r="E35" s="5" t="inlineStr">
        <is>
          <t>No</t>
        </is>
      </c>
      <c r="F35" s="3" t="inlineStr">
        <is>
          <t>3. Terms of trade / commodity prices</t>
        </is>
      </c>
      <c r="G35" s="3" t="inlineStr">
        <is>
          <t>No individual commodity prices (iron ore, soybeans, oil) — only the aggregate Funcex index. If the agent needs to decompose terms of trade by commodity, there's no data for that today.</t>
        </is>
      </c>
    </row>
    <row r="36" ht="34.05" customHeight="1">
      <c r="A36" s="3" t="inlineStr">
        <is>
          <t>real_narrow was excluded from scope (broad basket only).</t>
        </is>
      </c>
      <c r="B36" s="3" t="n"/>
      <c r="C36" s="4" t="n"/>
      <c r="D36" s="4" t="n"/>
      <c r="E36" s="5" t="inlineStr">
        <is>
          <t>No</t>
        </is>
      </c>
      <c r="F36" s="3" t="inlineStr">
        <is>
          <t>7. Real effective exchange rate (REER)</t>
        </is>
      </c>
      <c r="G36" s="3" t="inlineStr">
        <is>
          <t>real_narrow was excluded from scope (broad basket only).</t>
        </is>
      </c>
    </row>
    <row r="37" ht="34.05" customHeight="1">
      <c r="A37" s="3" t="inlineStr">
        <is>
          <t>CLP and COP have no CME futures</t>
        </is>
      </c>
      <c r="B37" s="3" t="n"/>
      <c r="C37" s="4" t="n"/>
      <c r="D37" s="4" t="n"/>
      <c r="E37" s="5" t="inlineStr">
        <is>
          <t>No</t>
        </is>
      </c>
      <c r="F37" s="3" t="inlineStr">
        <is>
          <t>8. Speculative positioning (FX futures)</t>
        </is>
      </c>
      <c r="G37" s="3" t="inlineStr">
        <is>
          <t>CLP and COP have no CME futures — they don't appear in the TFF report, and there's no equivalent alternative data today.</t>
        </is>
      </c>
    </row>
    <row r="38" ht="34.05" customHeight="1">
      <c r="A38" s="3" t="inlineStr">
        <is>
          <t>History not available before 2010 (CFTC returns 404 for 2006–2009).</t>
        </is>
      </c>
      <c r="B38" s="3" t="n"/>
      <c r="C38" s="4" t="n"/>
      <c r="D38" s="4" t="n"/>
      <c r="E38" s="5" t="inlineStr">
        <is>
          <t>No</t>
        </is>
      </c>
      <c r="F38" s="3" t="inlineStr">
        <is>
          <t>8. Speculative positioning (FX futures)</t>
        </is>
      </c>
      <c r="G38" s="3" t="inlineStr">
        <is>
          <t>History not available before 2010 (CFTC returns 404 for 2006–2009).</t>
        </is>
      </c>
    </row>
  </sheetData>
  <autoFilter ref="A1:G38"/>
  <pageMargins left="0.75" right="0.75" top="1" bottom="1" header="0.5" footer="0.5"/>
</worksheet>
</file>

<file path=xl/worksheets/sheet5.xml><?xml version="1.0" encoding="utf-8"?>
<worksheet xmlns="http://schemas.openxmlformats.org/spreadsheetml/2006/main">
  <sheetPr>
    <tabColor rgb="FF1F2853"/>
    <outlinePr summaryBelow="1" summaryRight="1"/>
    <pageSetUpPr/>
  </sheetPr>
  <dimension ref="A1:P72"/>
  <sheetViews>
    <sheetView showGridLines="0" tabSelected="1" topLeftCell="H1" zoomScale="130" zoomScaleNormal="130" workbookViewId="0">
      <pane ySplit="1" topLeftCell="A5" activePane="bottomLeft" state="frozen"/>
      <selection activeCell="D15" sqref="D15"/>
      <selection pane="bottomLeft" activeCell="D15" sqref="D15"/>
    </sheetView>
  </sheetViews>
  <sheetFormatPr baseColWidth="8" defaultRowHeight="14.4"/>
  <cols>
    <col width="42" customWidth="1" min="1" max="1"/>
    <col width="14.6640625" customWidth="1" min="2" max="2"/>
    <col width="14.77734375" customWidth="1" min="3" max="3"/>
    <col width="15.21875" customWidth="1" min="4" max="4"/>
    <col width="15.77734375" customWidth="1" min="5" max="5"/>
    <col width="15.109375" customWidth="1" min="6" max="6"/>
    <col width="14.44140625" customWidth="1" min="7" max="7"/>
    <col width="14.10937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64.05" customHeight="1">
      <c r="A2" s="3" t="inlineStr">
        <is>
          <t>The Role of Monetary Policy</t>
        </is>
      </c>
      <c r="B2" s="3" t="inlineStr">
        <is>
          <t>Friedman, M.</t>
        </is>
      </c>
      <c r="C2" s="4" t="inlineStr">
        <is>
          <t>1968</t>
        </is>
      </c>
      <c r="D2" s="4" t="n">
        <v>5</v>
      </c>
      <c r="E2" s="6" t="inlineStr">
        <is>
          <t>Yes</t>
        </is>
      </c>
      <c r="F2" s="3" t="inlineStr">
        <is>
          <t>Paper</t>
        </is>
      </c>
      <c r="G2" s="3" t="inlineStr">
        <is>
          <t>#policy_rules_and_credibility</t>
        </is>
      </c>
      <c r="H2" s="3" t="inlineStr">
        <is>
          <t>Natural rate; what monetary policy can and cannot do</t>
        </is>
      </c>
      <c r="I2" s="3" t="n"/>
      <c r="J2" s="51" t="inlineStr">
        <is>
          <t>the_role_monetary_policy (Friedman, 1968)</t>
        </is>
      </c>
      <c r="K2" s="53" t="inlineStr">
        <is>
          <t>Ingested</t>
        </is>
      </c>
      <c r="L2" s="52" t="inlineStr">
        <is>
          <t>2026-10-20</t>
        </is>
      </c>
      <c r="M2" s="51" t="inlineStr">
        <is>
          <t>reclean (cleaner change)</t>
        </is>
      </c>
      <c r="N2" s="51" t="n"/>
      <c r="O2" s="52" t="inlineStr">
        <is>
          <t>Yes</t>
        </is>
      </c>
      <c r="P2" s="51" t="n"/>
    </row>
    <row r="3" ht="64.05" customHeight="1">
      <c r="A3" s="3" t="inlineStr">
        <is>
          <t>Rules Rather than Discretion: The Inconsistency of Optimal Plans</t>
        </is>
      </c>
      <c r="B3" s="3" t="inlineStr">
        <is>
          <t>Kydland, F. &amp; Prescott, E.</t>
        </is>
      </c>
      <c r="C3" s="4" t="inlineStr">
        <is>
          <t>1977</t>
        </is>
      </c>
      <c r="D3" s="4" t="n">
        <v>5</v>
      </c>
      <c r="E3" s="6" t="inlineStr">
        <is>
          <t>Yes</t>
        </is>
      </c>
      <c r="F3" s="3" t="inlineStr">
        <is>
          <t>Paper</t>
        </is>
      </c>
      <c r="G3" s="3" t="inlineStr">
        <is>
          <t>#policy_rules_and_credibility</t>
        </is>
      </c>
      <c r="H3" s="3" t="inlineStr">
        <is>
          <t>Time inconsistency: discretion produces inflation bias</t>
        </is>
      </c>
      <c r="I3" s="3" t="n"/>
      <c r="J3" s="51" t="inlineStr">
        <is>
          <t>time_inconsistency_optimal_plans (Kydland &amp; Prescott, 1977)</t>
        </is>
      </c>
      <c r="K3" s="53" t="inlineStr">
        <is>
          <t>Ingested</t>
        </is>
      </c>
      <c r="L3" s="52" t="inlineStr">
        <is>
          <t>2026-10-20</t>
        </is>
      </c>
      <c r="M3" s="51" t="inlineStr">
        <is>
          <t>reclean (cleaner change)</t>
        </is>
      </c>
      <c r="N3" s="51" t="n"/>
      <c r="O3" s="52" t="inlineStr">
        <is>
          <t>Yes</t>
        </is>
      </c>
      <c r="P3" s="51" t="n"/>
    </row>
    <row r="4" ht="49.05" customHeight="1">
      <c r="A4" s="3" t="inlineStr">
        <is>
          <t>A Positive Theory of Monetary Policy in a Natural Rate Model</t>
        </is>
      </c>
      <c r="B4" s="3" t="inlineStr">
        <is>
          <t>Barro, R. &amp; Gordon, D.</t>
        </is>
      </c>
      <c r="C4" s="4" t="inlineStr">
        <is>
          <t>1983</t>
        </is>
      </c>
      <c r="D4" s="4" t="n">
        <v>5</v>
      </c>
      <c r="E4" s="6" t="inlineStr">
        <is>
          <t>Yes</t>
        </is>
      </c>
      <c r="F4" s="3" t="inlineStr">
        <is>
          <t>Paper</t>
        </is>
      </c>
      <c r="G4" s="3" t="inlineStr">
        <is>
          <t>#policy_rules_and_credibility</t>
        </is>
      </c>
      <c r="H4" s="3" t="inlineStr">
        <is>
          <t>The workhorse inflation-bias model</t>
        </is>
      </c>
      <c r="I4" s="3" t="n"/>
      <c r="J4" s="51" t="inlineStr">
        <is>
          <t>positive_theory_monetary_policy (Barro &amp; Gordon, 1983)</t>
        </is>
      </c>
      <c r="K4" s="53" t="inlineStr">
        <is>
          <t>Ingested</t>
        </is>
      </c>
      <c r="L4" s="52" t="inlineStr">
        <is>
          <t>2026-10-19</t>
        </is>
      </c>
      <c r="M4" s="51" t="inlineStr">
        <is>
          <t>reclean (cleaner change)</t>
        </is>
      </c>
      <c r="N4" s="51" t="n"/>
      <c r="O4" s="52" t="inlineStr">
        <is>
          <t>Yes</t>
        </is>
      </c>
      <c r="P4" s="51" t="n"/>
    </row>
    <row r="5" ht="79.05" customHeight="1">
      <c r="A5" s="3" t="inlineStr">
        <is>
          <t>The Optimal Degree of Commitment to an Intermediate Monetary Target</t>
        </is>
      </c>
      <c r="B5" s="3" t="inlineStr">
        <is>
          <t>Rogoff, K.</t>
        </is>
      </c>
      <c r="C5" s="4" t="inlineStr">
        <is>
          <t>1985</t>
        </is>
      </c>
      <c r="D5" s="4" t="n">
        <v>5</v>
      </c>
      <c r="E5" s="7" t="inlineStr">
        <is>
          <t>Yes</t>
        </is>
      </c>
      <c r="F5" s="3" t="inlineStr">
        <is>
          <t>Paper</t>
        </is>
      </c>
      <c r="G5" s="3" t="inlineStr">
        <is>
          <t>#policy_rules_and_credibility</t>
        </is>
      </c>
      <c r="H5" s="3" t="inlineStr">
        <is>
          <t>The conservative central banker</t>
        </is>
      </c>
      <c r="I5" s="3" t="inlineStr">
        <is>
          <t>PDF acquired (JSTOR copy).</t>
        </is>
      </c>
      <c r="J5" s="51" t="inlineStr">
        <is>
          <t>optimal_commitment_intermediate_target (Rogoff, 1985)</t>
        </is>
      </c>
      <c r="K5" s="53" t="inlineStr">
        <is>
          <t>Ingested</t>
        </is>
      </c>
      <c r="L5" s="52" t="inlineStr">
        <is>
          <t>2026-10-20</t>
        </is>
      </c>
      <c r="M5" s="51" t="inlineStr">
        <is>
          <t>reclean (cleaner change)</t>
        </is>
      </c>
      <c r="N5" s="51" t="n"/>
      <c r="O5" s="52" t="inlineStr">
        <is>
          <t>Yes</t>
        </is>
      </c>
      <c r="P5" s="51" t="n"/>
    </row>
    <row r="6" ht="79.05" customHeight="1">
      <c r="A6" s="3" t="inlineStr">
        <is>
          <t>Central Bank Strategy, Credibility, and Independence: Theory and Evidence (selected chapters)</t>
        </is>
      </c>
      <c r="B6" s="3" t="inlineStr">
        <is>
          <t>Cukierman, A.</t>
        </is>
      </c>
      <c r="C6" s="4" t="inlineStr">
        <is>
          <t>1992</t>
        </is>
      </c>
      <c r="D6" s="4" t="n">
        <v>4</v>
      </c>
      <c r="E6" s="8" t="inlineStr">
        <is>
          <t>Dropped</t>
        </is>
      </c>
      <c r="F6" s="3" t="inlineStr">
        <is>
          <t>Book</t>
        </is>
      </c>
      <c r="G6" s="3" t="inlineStr">
        <is>
          <t>#policy_rules_and_credibility</t>
        </is>
      </c>
      <c r="H6" s="3" t="inlineStr">
        <is>
          <t>Canonical synthesis of time-inconsistency theory with the empirical central bank independence (CBI) indices still used in cross-country studies today. Recommended chapters: the introductory theoretical chapter formalizing commitment/discretion, plus the chapter introducing the legal-independence index (LVAU/LVAW) - confirm exact chapter numbers against the table of contents on acquisition.</t>
        </is>
      </c>
      <c r="I6" s="3" t="inlineStr">
        <is>
          <t>Dropped 2026-10-07: Theory covered by Rogoff, Walsh and Barro-Gordon; the CBI index matters only for cross-country work</t>
        </is>
      </c>
      <c r="J6" s="51" t="n"/>
      <c r="K6" s="52" t="n"/>
      <c r="L6" s="52" t="n"/>
      <c r="M6" s="51" t="n"/>
      <c r="N6" s="51" t="n"/>
      <c r="O6" s="52" t="n"/>
      <c r="P6" s="51" t="n"/>
    </row>
    <row r="7" ht="124.05" customHeight="1">
      <c r="A7" s="3" t="inlineStr">
        <is>
          <t>Discretion versus Policy Rules in Practice</t>
        </is>
      </c>
      <c r="B7" s="3" t="inlineStr">
        <is>
          <t>Taylor, J.</t>
        </is>
      </c>
      <c r="C7" s="4" t="inlineStr">
        <is>
          <t>1993</t>
        </is>
      </c>
      <c r="D7" s="4" t="n">
        <v>5</v>
      </c>
      <c r="E7" s="6" t="inlineStr">
        <is>
          <t>Yes</t>
        </is>
      </c>
      <c r="F7" s="3" t="inlineStr">
        <is>
          <t>Paper</t>
        </is>
      </c>
      <c r="G7" s="3" t="inlineStr">
        <is>
          <t>#policy_rules_and_credibility</t>
        </is>
      </c>
      <c r="H7" s="3" t="inlineStr">
        <is>
          <t>The Taylor rule</t>
        </is>
      </c>
      <c r="I7" s="3" t="n"/>
      <c r="J7" s="51" t="inlineStr">
        <is>
          <t>taylor_rule (Taylor, 1993)</t>
        </is>
      </c>
      <c r="K7" s="53" t="inlineStr">
        <is>
          <t>Ingested</t>
        </is>
      </c>
      <c r="L7" s="52" t="inlineStr">
        <is>
          <t>2026-10-20</t>
        </is>
      </c>
      <c r="M7" s="51" t="inlineStr">
        <is>
          <t>reclean (cleaner change)</t>
        </is>
      </c>
      <c r="N7" s="51" t="n"/>
      <c r="O7" s="52" t="inlineStr">
        <is>
          <t>Yes</t>
        </is>
      </c>
      <c r="P7" s="51" t="n"/>
    </row>
    <row r="8" ht="79.05" customHeight="1">
      <c r="A8" s="3" t="inlineStr">
        <is>
          <t>Optimal Contracts for Central Bankers</t>
        </is>
      </c>
      <c r="B8" s="3" t="inlineStr">
        <is>
          <t>Walsh, C.</t>
        </is>
      </c>
      <c r="C8" s="39" t="inlineStr">
        <is>
          <t>1995</t>
        </is>
      </c>
      <c r="D8" s="39" t="n">
        <v>5</v>
      </c>
      <c r="E8" s="39" t="inlineStr">
        <is>
          <t>Yes</t>
        </is>
      </c>
      <c r="F8" s="3" t="inlineStr">
        <is>
          <t>Paper</t>
        </is>
      </c>
      <c r="G8" s="3" t="inlineStr">
        <is>
          <t>#policy_rules_and_credibility</t>
        </is>
      </c>
      <c r="H8" s="3" t="inlineStr">
        <is>
          <t>Inflation bias solved by a performance contract</t>
        </is>
      </c>
      <c r="I8" s="3" t="inlineStr">
        <is>
          <t>Acquired PDF is scanned/image-only, no text layer (confirmed via embedded /Image objects, not corruption) - needs actual reading/OCR when processing, not pdftotext/grep.</t>
        </is>
      </c>
      <c r="J8" s="51" t="inlineStr">
        <is>
          <t>optimal_contracts_central_bankers (Walsh, 1995)</t>
        </is>
      </c>
      <c r="K8" s="53" t="inlineStr">
        <is>
          <t>Ingested</t>
        </is>
      </c>
      <c r="L8" s="52" t="inlineStr">
        <is>
          <t>2026-10-20</t>
        </is>
      </c>
      <c r="M8" s="51" t="inlineStr">
        <is>
          <t>reclean (cleaner change)</t>
        </is>
      </c>
      <c r="N8" s="51" t="n"/>
      <c r="O8" s="52" t="inlineStr">
        <is>
          <t>Yes</t>
        </is>
      </c>
      <c r="P8" s="51" t="n"/>
    </row>
    <row r="9" ht="169.05" customHeight="1">
      <c r="A9" s="3" t="inlineStr">
        <is>
          <t>Staggered Prices in a Utility-Maximizing Framework</t>
        </is>
      </c>
      <c r="B9" s="3" t="inlineStr">
        <is>
          <t>Calvo, G.</t>
        </is>
      </c>
      <c r="C9" s="4" t="inlineStr">
        <is>
          <t>1983</t>
        </is>
      </c>
      <c r="D9" s="4" t="n">
        <v>5</v>
      </c>
      <c r="E9" s="6" t="inlineStr">
        <is>
          <t>Yes</t>
        </is>
      </c>
      <c r="F9" s="3" t="inlineStr">
        <is>
          <t>Paper</t>
        </is>
      </c>
      <c r="G9" s="3" t="inlineStr">
        <is>
          <t>#new_keynesian_transmission</t>
        </is>
      </c>
      <c r="H9" s="3" t="inlineStr">
        <is>
          <t>The microfoundation of price stickiness</t>
        </is>
      </c>
      <c r="I9" s="3" t="n"/>
      <c r="J9" s="51" t="inlineStr">
        <is>
          <t>staggered_prices (Calvo, 1983)</t>
        </is>
      </c>
      <c r="K9" s="53" t="inlineStr">
        <is>
          <t>Ingested</t>
        </is>
      </c>
      <c r="L9" s="52" t="inlineStr">
        <is>
          <t>2026-10-19</t>
        </is>
      </c>
      <c r="M9" s="51" t="inlineStr">
        <is>
          <t>default</t>
        </is>
      </c>
      <c r="N9" s="51" t="n"/>
      <c r="O9" s="52" t="inlineStr">
        <is>
          <t>Yes</t>
        </is>
      </c>
      <c r="P9" s="51" t="n"/>
    </row>
    <row r="10" ht="94.05" customHeight="1">
      <c r="A10" s="3" t="inlineStr">
        <is>
          <t>The Science of Monetary Policy: A New Keynesian Perspective</t>
        </is>
      </c>
      <c r="B10" s="3" t="inlineStr">
        <is>
          <t>Clarida, R., Gali, J. &amp; Gertler, M.</t>
        </is>
      </c>
      <c r="C10" s="4" t="inlineStr">
        <is>
          <t>1999</t>
        </is>
      </c>
      <c r="D10" s="4" t="n">
        <v>5</v>
      </c>
      <c r="E10" s="6" t="inlineStr">
        <is>
          <t>Yes</t>
        </is>
      </c>
      <c r="F10" s="3" t="inlineStr">
        <is>
          <t>Paper</t>
        </is>
      </c>
      <c r="G10" s="3" t="inlineStr">
        <is>
          <t>#new_keynesian_transmission</t>
        </is>
      </c>
      <c r="H10" s="3" t="inlineStr">
        <is>
          <t>The 3-equation NK model as the standard framework</t>
        </is>
      </c>
      <c r="I10" s="3" t="inlineStr">
        <is>
          <t>Acquired PDF text layer is Caesar-shift-encoded (font-encoding quirk of the source site, not a wrong file - verified by decoding the opening line). Wont extract cleanly with plain pdftotext.</t>
        </is>
      </c>
      <c r="J10" s="51" t="inlineStr">
        <is>
          <t>science_of_monetary_policy (Clarida, Gali &amp; Gertler, 1999)</t>
        </is>
      </c>
      <c r="K10" s="53" t="inlineStr">
        <is>
          <t>Ingested</t>
        </is>
      </c>
      <c r="L10" s="52" t="inlineStr">
        <is>
          <t>2026-10-20</t>
        </is>
      </c>
      <c r="M10" s="51" t="inlineStr">
        <is>
          <t>reclean (cleaner change)</t>
        </is>
      </c>
      <c r="N10" s="51" t="n"/>
      <c r="O10" s="52" t="inlineStr">
        <is>
          <t>Yes</t>
        </is>
      </c>
      <c r="P10" s="51" t="n"/>
    </row>
    <row r="11" ht="64.05" customHeight="1">
      <c r="A11" s="3" t="inlineStr">
        <is>
          <t>Interest and Prices: Foundations of a Theory of Monetary Policy (selected chapters)</t>
        </is>
      </c>
      <c r="B11" s="3" t="inlineStr">
        <is>
          <t>Woodford, M.</t>
        </is>
      </c>
      <c r="C11" s="4" t="inlineStr">
        <is>
          <t>2003</t>
        </is>
      </c>
      <c r="D11" s="4" t="n">
        <v>5</v>
      </c>
      <c r="E11" s="8" t="inlineStr">
        <is>
          <t>Dropped</t>
        </is>
      </c>
      <c r="F11" s="3" t="inlineStr">
        <is>
          <t>Book</t>
        </is>
      </c>
      <c r="G11" s="3" t="inlineStr">
        <is>
          <t>#new_keynesian_transmission</t>
        </is>
      </c>
      <c r="H11" s="3" t="inlineStr">
        <is>
          <t>THE modern graduate-level reference on interest-rate-rule-based monetary policy. Recommended: Ch. 1 ('The Return of Monetary Rules,' accessible manifesto) + the commitment-vs-discretion / optimal-rules chapter (Ch. 7 or 8 depending on edition - confirm against ToC).</t>
        </is>
      </c>
      <c r="I11" s="3" t="inlineStr">
        <is>
          <t>Do not find
Dropped 2026-10-07: Covered for this agent by Galí (2015) ch. 3-5 and Clarida-Galí-Gertler (1999)</t>
        </is>
      </c>
      <c r="J11" s="51" t="n"/>
      <c r="K11" s="52" t="n"/>
      <c r="L11" s="52" t="n"/>
      <c r="M11" s="51" t="n"/>
      <c r="N11" s="51" t="n"/>
      <c r="O11" s="52" t="n"/>
      <c r="P11" s="51" t="n"/>
    </row>
    <row r="12" ht="79.05" customHeight="1">
      <c r="A12" s="3" t="inlineStr">
        <is>
          <t>Monetary Policy, Inflation, and the Business Cycle (2nd ed.), Ch. 2 - A Classical Monetary Model</t>
        </is>
      </c>
      <c r="B12" s="3" t="inlineStr">
        <is>
          <t>Gali, J.</t>
        </is>
      </c>
      <c r="C12" s="4" t="inlineStr">
        <is>
          <t>2015</t>
        </is>
      </c>
      <c r="D12" s="4" t="n">
        <v>3</v>
      </c>
      <c r="E12" s="7" t="inlineStr">
        <is>
          <t>Yes</t>
        </is>
      </c>
      <c r="F12" s="3" t="inlineStr">
        <is>
          <t>Textbook chapter</t>
        </is>
      </c>
      <c r="G12" s="3" t="inlineStr">
        <is>
          <t>#new_keynesian_transmission</t>
        </is>
      </c>
      <c r="H12" s="3" t="inlineStr">
        <is>
          <t>Supporting: the flexible-price benchmark the NK model departs from</t>
        </is>
      </c>
      <c r="I12" s="3" t="n"/>
      <c r="J12" s="51" t="inlineStr">
        <is>
          <t>classical_monetary_model_ch2 (Gali, 2015)</t>
        </is>
      </c>
      <c r="K12" s="53" t="inlineStr">
        <is>
          <t>Ingested</t>
        </is>
      </c>
      <c r="L12" s="52" t="inlineStr">
        <is>
          <t>2026-10-20</t>
        </is>
      </c>
      <c r="M12" s="51" t="inlineStr">
        <is>
          <t>reclean (cleaner change)</t>
        </is>
      </c>
      <c r="N12" s="51" t="n"/>
      <c r="O12" s="52" t="inlineStr">
        <is>
          <t>Yes</t>
        </is>
      </c>
      <c r="P12" s="51" t="n"/>
    </row>
    <row r="13" ht="64.05" customHeight="1">
      <c r="A13" s="10" t="inlineStr">
        <is>
          <t>Monetary Policy, Inflation, and the Business Cycle (2nd ed.), Ch. 3 - The Basic New Keynesian Model</t>
        </is>
      </c>
      <c r="B13" s="10" t="inlineStr">
        <is>
          <t>Gali, J.</t>
        </is>
      </c>
      <c r="C13" s="11" t="inlineStr">
        <is>
          <t>2015</t>
        </is>
      </c>
      <c r="D13" s="11" t="n">
        <v>5</v>
      </c>
      <c r="E13" s="14" t="inlineStr">
        <is>
          <t>Yes</t>
        </is>
      </c>
      <c r="F13" s="10" t="inlineStr">
        <is>
          <t>Textbook chapter</t>
        </is>
      </c>
      <c r="G13" s="10" t="inlineStr">
        <is>
          <t>#new_keynesian_transmission</t>
        </is>
      </c>
      <c r="H13" s="10" t="inlineStr">
        <is>
          <t>Core: the basic NK model (IS curve, Phillips curve, policy rule)</t>
        </is>
      </c>
      <c r="I13" s="10" t="n"/>
      <c r="J13" s="51" t="inlineStr">
        <is>
          <t>basic_nk_model_ch3 (Gali, 2015)</t>
        </is>
      </c>
      <c r="K13" s="53" t="inlineStr">
        <is>
          <t>Ingested</t>
        </is>
      </c>
      <c r="L13" s="52" t="inlineStr">
        <is>
          <t>2026-10-20</t>
        </is>
      </c>
      <c r="M13" s="51" t="inlineStr">
        <is>
          <t>reclean (cleaner change)</t>
        </is>
      </c>
      <c r="N13" s="51" t="n"/>
      <c r="O13" s="52" t="inlineStr">
        <is>
          <t>Yes</t>
        </is>
      </c>
      <c r="P13" s="51" t="n"/>
    </row>
    <row r="14" ht="64.05" customHeight="1">
      <c r="A14" s="10" t="inlineStr">
        <is>
          <t>Monetary Policy, Inflation, and the Business Cycle (2nd ed.), Ch. 4 - Monetary Policy Design in the Basic New Keynesian Model</t>
        </is>
      </c>
      <c r="B14" s="10" t="inlineStr">
        <is>
          <t>Gali, J.</t>
        </is>
      </c>
      <c r="C14" s="11" t="inlineStr">
        <is>
          <t>2015</t>
        </is>
      </c>
      <c r="D14" s="11" t="n">
        <v>5</v>
      </c>
      <c r="E14" s="14" t="inlineStr">
        <is>
          <t>Yes</t>
        </is>
      </c>
      <c r="F14" s="10" t="inlineStr">
        <is>
          <t>Textbook chapter</t>
        </is>
      </c>
      <c r="G14" s="10" t="inlineStr">
        <is>
          <t>#new_keynesian_transmission</t>
        </is>
      </c>
      <c r="H14" s="10" t="inlineStr">
        <is>
          <t>Core: optimal policy and simple rules in the basic NK model</t>
        </is>
      </c>
      <c r="I14" s="10" t="n"/>
      <c r="J14" s="51" t="inlineStr">
        <is>
          <t>monetary_policy_design_nk_ch4 (Gali, 2015)</t>
        </is>
      </c>
      <c r="K14" s="53" t="inlineStr">
        <is>
          <t>Ingested</t>
        </is>
      </c>
      <c r="L14" s="52" t="inlineStr">
        <is>
          <t>2026-10-20</t>
        </is>
      </c>
      <c r="M14" s="51" t="inlineStr">
        <is>
          <t>reclean (cleaner change)</t>
        </is>
      </c>
      <c r="N14" s="51" t="n"/>
      <c r="O14" s="52" t="inlineStr">
        <is>
          <t>Yes</t>
        </is>
      </c>
      <c r="P14" s="51" t="n"/>
    </row>
    <row r="15" ht="49.05" customHeight="1">
      <c r="A15" s="10" t="inlineStr">
        <is>
          <t>Monetary Policy, Inflation, and the Business Cycle (2nd ed.), Ch. 5 - Monetary Policy Tradeoffs: Discretion versus Commitment</t>
        </is>
      </c>
      <c r="B15" s="10" t="inlineStr">
        <is>
          <t>Gali, J.</t>
        </is>
      </c>
      <c r="C15" s="11" t="inlineStr">
        <is>
          <t>2015</t>
        </is>
      </c>
      <c r="D15" s="11" t="n">
        <v>4</v>
      </c>
      <c r="E15" s="14" t="inlineStr">
        <is>
          <t>Yes</t>
        </is>
      </c>
      <c r="F15" s="10" t="inlineStr">
        <is>
          <t>Textbook chapter</t>
        </is>
      </c>
      <c r="G15" s="10" t="inlineStr">
        <is>
          <t>#new_keynesian_transmission</t>
        </is>
      </c>
      <c r="H15" s="10" t="inlineStr">
        <is>
          <t>Discretion vs. commitment, cost-push tradeoffs</t>
        </is>
      </c>
      <c r="I15" s="10" t="n"/>
      <c r="J15" s="51" t="inlineStr">
        <is>
          <t>discretion_vs_commitment_ch5 (Gali, 2015)</t>
        </is>
      </c>
      <c r="K15" s="53" t="inlineStr">
        <is>
          <t>Ingested</t>
        </is>
      </c>
      <c r="L15" s="52" t="inlineStr">
        <is>
          <t>2026-10-20</t>
        </is>
      </c>
      <c r="M15" s="51" t="inlineStr">
        <is>
          <t>reclean (cleaner change)</t>
        </is>
      </c>
      <c r="N15" s="51" t="n"/>
      <c r="O15" s="52" t="inlineStr">
        <is>
          <t>Yes</t>
        </is>
      </c>
      <c r="P15" s="51" t="n"/>
    </row>
    <row r="16" ht="49.05" customHeight="1">
      <c r="A16" s="10" t="inlineStr">
        <is>
          <t>Monetary Policy, Inflation, and the Business Cycle (2nd ed.), Ch. 6 - A Model with Sticky Wages and Prices</t>
        </is>
      </c>
      <c r="B16" s="10" t="inlineStr">
        <is>
          <t>Gali, J.</t>
        </is>
      </c>
      <c r="C16" s="11" t="inlineStr">
        <is>
          <t>2015</t>
        </is>
      </c>
      <c r="D16" s="11" t="n">
        <v>3</v>
      </c>
      <c r="E16" s="14" t="inlineStr">
        <is>
          <t>Yes</t>
        </is>
      </c>
      <c r="F16" s="10" t="inlineStr">
        <is>
          <t>Textbook chapter</t>
        </is>
      </c>
      <c r="G16" s="10" t="inlineStr">
        <is>
          <t>#new_keynesian_transmission</t>
        </is>
      </c>
      <c r="H16" s="10" t="inlineStr">
        <is>
          <t>Supporting: wage rigidity added to the NK model</t>
        </is>
      </c>
      <c r="I16" s="10" t="n"/>
      <c r="J16" s="51" t="inlineStr">
        <is>
          <t>sticky_wages_prices_ch6 (Gali, 2015)</t>
        </is>
      </c>
      <c r="K16" s="53" t="inlineStr">
        <is>
          <t>Ingested</t>
        </is>
      </c>
      <c r="L16" s="52" t="inlineStr">
        <is>
          <t>2026-10-20</t>
        </is>
      </c>
      <c r="M16" s="51" t="inlineStr">
        <is>
          <t>reclean (cleaner change)</t>
        </is>
      </c>
      <c r="N16" s="51" t="n"/>
      <c r="O16" s="52" t="inlineStr">
        <is>
          <t>Yes</t>
        </is>
      </c>
      <c r="P16" s="51" t="n"/>
    </row>
    <row r="17" ht="49.05" customHeight="1">
      <c r="A17" s="10" t="inlineStr">
        <is>
          <t>Monetary Policy, Inflation, and the Business Cycle (2nd ed.), Ch. 7 - Unemployment in the New Keynesian Model</t>
        </is>
      </c>
      <c r="B17" s="10" t="inlineStr">
        <is>
          <t>Gali, J.</t>
        </is>
      </c>
      <c r="C17" s="11" t="inlineStr">
        <is>
          <t>2015</t>
        </is>
      </c>
      <c r="D17" s="11" t="n">
        <v>3</v>
      </c>
      <c r="E17" s="14" t="inlineStr">
        <is>
          <t>Yes</t>
        </is>
      </c>
      <c r="F17" s="10" t="inlineStr">
        <is>
          <t>Textbook chapter</t>
        </is>
      </c>
      <c r="G17" s="10" t="inlineStr">
        <is>
          <t>#new_keynesian_transmission</t>
        </is>
      </c>
      <c r="H17" s="10" t="inlineStr">
        <is>
          <t>Supporting: unemployment in the NK model</t>
        </is>
      </c>
      <c r="I17" s="10" t="n"/>
      <c r="J17" s="51" t="inlineStr">
        <is>
          <t>unemployment_nk_model_ch7 (Gali, 2015)</t>
        </is>
      </c>
      <c r="K17" s="53" t="inlineStr">
        <is>
          <t>Ingested</t>
        </is>
      </c>
      <c r="L17" s="52" t="inlineStr">
        <is>
          <t>2026-10-20</t>
        </is>
      </c>
      <c r="M17" s="51" t="inlineStr">
        <is>
          <t>reclean (cleaner change)</t>
        </is>
      </c>
      <c r="N17" s="51" t="n"/>
      <c r="O17" s="52" t="inlineStr">
        <is>
          <t>Yes</t>
        </is>
      </c>
      <c r="P17" s="51" t="n"/>
    </row>
    <row r="18" ht="79.05" customHeight="1">
      <c r="A18" s="10" t="inlineStr">
        <is>
          <t>Monetary Policy, Inflation, and the Business Cycle (2nd ed.), Ch. 8 - Monetary Policy in the Open Economy</t>
        </is>
      </c>
      <c r="B18" s="10" t="inlineStr">
        <is>
          <t>Gali, J.</t>
        </is>
      </c>
      <c r="C18" s="11" t="inlineStr">
        <is>
          <t>2015</t>
        </is>
      </c>
      <c r="D18" s="11" t="n">
        <v>4</v>
      </c>
      <c r="E18" s="14" t="inlineStr">
        <is>
          <t>Yes</t>
        </is>
      </c>
      <c r="F18" s="10" t="inlineStr">
        <is>
          <t>Textbook chapter</t>
        </is>
      </c>
      <c r="G18" s="10" t="inlineStr">
        <is>
          <t>#new_keynesian_transmission</t>
        </is>
      </c>
      <c r="H18" s="10" t="inlineStr">
        <is>
          <t>Open economy: the small open economy NK model, exchange-rate pass-through</t>
        </is>
      </c>
      <c r="I18" s="10" t="n"/>
      <c r="J18" s="51" t="inlineStr">
        <is>
          <t>open_economy_monetary_policy_ch8 (Gali, 2015)</t>
        </is>
      </c>
      <c r="K18" s="53" t="inlineStr">
        <is>
          <t>Ingested</t>
        </is>
      </c>
      <c r="L18" s="52" t="inlineStr">
        <is>
          <t>2026-10-20</t>
        </is>
      </c>
      <c r="M18" s="51" t="inlineStr">
        <is>
          <t>reclean (cleaner change)</t>
        </is>
      </c>
      <c r="N18" s="51" t="n"/>
      <c r="O18" s="52" t="inlineStr">
        <is>
          <t>Yes</t>
        </is>
      </c>
      <c r="P18" s="51" t="n"/>
    </row>
    <row r="19" ht="64.05" customHeight="1">
      <c r="A19" s="3" t="inlineStr">
        <is>
          <t>Monetary Policy and Exchange Rate Volatility in a Small Open Economy</t>
        </is>
      </c>
      <c r="B19" s="3" t="inlineStr">
        <is>
          <t>Gali, J. &amp; Monacelli, T.</t>
        </is>
      </c>
      <c r="C19" s="4" t="inlineStr">
        <is>
          <t>2005</t>
        </is>
      </c>
      <c r="D19" s="4" t="n">
        <v>5</v>
      </c>
      <c r="E19" s="6" t="inlineStr">
        <is>
          <t>Yes</t>
        </is>
      </c>
      <c r="F19" s="3" t="inlineStr">
        <is>
          <t>Paper</t>
        </is>
      </c>
      <c r="G19" s="3" t="inlineStr">
        <is>
          <t>#new_keynesian_transmission</t>
        </is>
      </c>
      <c r="H19" s="3" t="inlineStr">
        <is>
          <t>The open-economy NK model; bridge to exchange rate</t>
        </is>
      </c>
      <c r="I19" s="3" t="n"/>
      <c r="J19" s="51" t="inlineStr">
        <is>
          <t>nk_small_open_economy (Gali &amp; Monacelli, 2005)</t>
        </is>
      </c>
      <c r="K19" s="53" t="inlineStr">
        <is>
          <t>Ingested</t>
        </is>
      </c>
      <c r="L19" s="52" t="inlineStr">
        <is>
          <t>2026-10-20</t>
        </is>
      </c>
      <c r="M19" s="51" t="inlineStr">
        <is>
          <t>reclean (cleaner change)</t>
        </is>
      </c>
      <c r="N19" s="51" t="n"/>
      <c r="O19" s="52" t="inlineStr">
        <is>
          <t>Yes</t>
        </is>
      </c>
      <c r="P19" s="51" t="n"/>
    </row>
    <row r="20" ht="109.05" customHeight="1">
      <c r="A20" s="3" t="inlineStr">
        <is>
          <t>Inflation Forecast Targeting: Implementing and Monitoring Inflation Targets</t>
        </is>
      </c>
      <c r="B20" s="3" t="inlineStr">
        <is>
          <t>Svensson, L.</t>
        </is>
      </c>
      <c r="C20" s="4" t="inlineStr">
        <is>
          <t>1997</t>
        </is>
      </c>
      <c r="D20" s="4" t="n">
        <v>5</v>
      </c>
      <c r="E20" s="6" t="inlineStr">
        <is>
          <t>Yes</t>
        </is>
      </c>
      <c r="F20" s="3" t="inlineStr">
        <is>
          <t>Paper</t>
        </is>
      </c>
      <c r="G20" s="3" t="inlineStr">
        <is>
          <t>#inflation_targeting_regimes</t>
        </is>
      </c>
      <c r="H20" s="3" t="inlineStr">
        <is>
          <t>Forecast targeting — the Copom's own logic: the projection at the relevant horizon decides the rate</t>
        </is>
      </c>
      <c r="I20" s="3" t="n"/>
      <c r="J20" s="51" t="inlineStr">
        <is>
          <t>inflation_forecast_targeting (Svensson, 1997)</t>
        </is>
      </c>
      <c r="K20" s="53" t="inlineStr">
        <is>
          <t>Ingested</t>
        </is>
      </c>
      <c r="L20" s="52" t="inlineStr">
        <is>
          <t>2026-10-20</t>
        </is>
      </c>
      <c r="M20" s="51" t="inlineStr">
        <is>
          <t>reclean (cleaner change)</t>
        </is>
      </c>
      <c r="N20" s="51" t="n"/>
      <c r="O20" s="52" t="inlineStr">
        <is>
          <t>Yes</t>
        </is>
      </c>
      <c r="P20" s="51" t="n"/>
    </row>
    <row r="21" ht="64.05" customHeight="1">
      <c r="A21" s="3" t="inlineStr">
        <is>
          <t>Inflation Targeting: Lessons from the International Experience (selected chapters)</t>
        </is>
      </c>
      <c r="B21" s="3" t="inlineStr">
        <is>
          <t>Bernanke, B., Laubach, T., Mishkin, F. &amp; Posen, A.</t>
        </is>
      </c>
      <c r="C21" s="4" t="inlineStr">
        <is>
          <t>1999</t>
        </is>
      </c>
      <c r="D21" s="4" t="n">
        <v>5</v>
      </c>
      <c r="E21" s="8" t="inlineStr">
        <is>
          <t>Dropped</t>
        </is>
      </c>
      <c r="F21" s="3" t="inlineStr">
        <is>
          <t>Book</t>
        </is>
      </c>
      <c r="G21" s="3" t="inlineStr">
        <is>
          <t>#inflation_targeting_regimes</t>
        </is>
      </c>
      <c r="H21" s="3" t="inlineStr">
        <is>
          <t>The definitive early cross-country study of inflation targeting adoption and design choices. Recommended: Ch. 1 ('The Rationale for Inflation Targets') + the concluding synthesis chapter - confirm exact chapter number.</t>
        </is>
      </c>
      <c r="I21" s="3" t="inlineStr">
        <is>
          <t>Do not find
Dropped 2026-10-07: Covered by Svensson (1997), Mishkin (2000) and the Brazil IT papers</t>
        </is>
      </c>
      <c r="J21" s="51" t="n"/>
      <c r="K21" s="52" t="n"/>
      <c r="L21" s="52" t="n"/>
      <c r="M21" s="51" t="n"/>
      <c r="N21" s="51" t="n"/>
      <c r="O21" s="52" t="n"/>
      <c r="P21" s="51" t="n"/>
    </row>
    <row r="22" ht="109.05" customHeight="1">
      <c r="A22" s="3" t="inlineStr">
        <is>
          <t>Inflation Targeting in Emerging Market Countries</t>
        </is>
      </c>
      <c r="B22" s="3" t="inlineStr">
        <is>
          <t>Mishkin, F.</t>
        </is>
      </c>
      <c r="C22" s="4" t="inlineStr">
        <is>
          <t>2000</t>
        </is>
      </c>
      <c r="D22" s="4" t="n">
        <v>4</v>
      </c>
      <c r="E22" s="6" t="inlineStr">
        <is>
          <t>Yes</t>
        </is>
      </c>
      <c r="F22" s="3" t="inlineStr">
        <is>
          <t>Paper</t>
        </is>
      </c>
      <c r="G22" s="3" t="inlineStr">
        <is>
          <t>#inflation_targeting_regimes</t>
        </is>
      </c>
      <c r="H22" s="3" t="inlineStr">
        <is>
          <t>IT under EM conditions (pass-through, weaker institutions)</t>
        </is>
      </c>
      <c r="I22" s="3" t="n"/>
      <c r="J22" s="51" t="inlineStr">
        <is>
          <t>inflation_targeting_em (Mishkin, 2000)</t>
        </is>
      </c>
      <c r="K22" s="53" t="inlineStr">
        <is>
          <t>Ingested</t>
        </is>
      </c>
      <c r="L22" s="52" t="inlineStr">
        <is>
          <t>2026-10-20</t>
        </is>
      </c>
      <c r="M22" s="51" t="inlineStr">
        <is>
          <t>reclean (cleaner change)</t>
        </is>
      </c>
      <c r="N22" s="51" t="n"/>
      <c r="O22" s="52" t="inlineStr">
        <is>
          <t>Yes</t>
        </is>
      </c>
      <c r="P22" s="51" t="n"/>
    </row>
    <row r="23" ht="94.05" customHeight="1">
      <c r="A23" s="3" t="inlineStr">
        <is>
          <t>Inflation Targeting (Handbook of Monetary Economics vol. 3B)</t>
        </is>
      </c>
      <c r="B23" s="3" t="inlineStr">
        <is>
          <t>Svensson, L.</t>
        </is>
      </c>
      <c r="C23" s="4" t="n">
        <v>2010</v>
      </c>
      <c r="D23" s="4" t="n">
        <v>4</v>
      </c>
      <c r="E23" s="18" t="inlineStr">
        <is>
          <t>Yes</t>
        </is>
      </c>
      <c r="F23" s="3" t="inlineStr">
        <is>
          <t>Handbook chapter</t>
        </is>
      </c>
      <c r="G23" s="3" t="inlineStr">
        <is>
          <t>#inflation_targeting_regimes</t>
        </is>
      </c>
      <c r="H23" s="3" t="inlineStr">
        <is>
          <t>The mature version of the 1997 paper: flexible IT, horizon, communication of the projected path</t>
        </is>
      </c>
      <c r="I23" s="3" t="inlineStr">
        <is>
          <t>Acquisition priority: low
Suggested file: inflation_targeting_handbook (Svensson, 2010).pdf
Where to get it: NBER WP 16654</t>
        </is>
      </c>
      <c r="J23" s="51" t="inlineStr">
        <is>
          <t>inflation_targeting_handbook (Svensson, 2010)</t>
        </is>
      </c>
      <c r="K23" s="53" t="inlineStr">
        <is>
          <t>Ingested</t>
        </is>
      </c>
      <c r="L23" s="52" t="inlineStr">
        <is>
          <t>2026-10-20</t>
        </is>
      </c>
      <c r="M23" s="51" t="inlineStr">
        <is>
          <t>reclean (cleaner change)</t>
        </is>
      </c>
      <c r="N23" s="51" t="n"/>
      <c r="O23" s="52" t="inlineStr">
        <is>
          <t>Yes</t>
        </is>
      </c>
      <c r="P23" s="51" t="n"/>
    </row>
    <row r="24" ht="49.05" customHeight="1">
      <c r="A24" s="3" t="inlineStr">
        <is>
          <t>Credit, Money, and Aggregate Demand</t>
        </is>
      </c>
      <c r="B24" s="3" t="inlineStr">
        <is>
          <t>Bernanke, B. &amp; Blinder, A.</t>
        </is>
      </c>
      <c r="C24" s="4" t="inlineStr">
        <is>
          <t>1988</t>
        </is>
      </c>
      <c r="D24" s="4" t="n">
        <v>4</v>
      </c>
      <c r="E24" s="6" t="inlineStr">
        <is>
          <t>Yes</t>
        </is>
      </c>
      <c r="F24" s="3" t="inlineStr">
        <is>
          <t>Paper</t>
        </is>
      </c>
      <c r="G24" s="3" t="inlineStr">
        <is>
          <t>#transmission_channels_financial_frictions</t>
        </is>
      </c>
      <c r="H24" s="3" t="inlineStr">
        <is>
          <t>The bank-lending channel</t>
        </is>
      </c>
      <c r="I24" s="3" t="n"/>
      <c r="J24" s="51" t="inlineStr">
        <is>
          <t>credit_money_aggregate_demand (Bernanke &amp; Blinder, 1988)</t>
        </is>
      </c>
      <c r="K24" s="53" t="inlineStr">
        <is>
          <t>Ingested</t>
        </is>
      </c>
      <c r="L24" s="52" t="inlineStr">
        <is>
          <t>2026-10-20</t>
        </is>
      </c>
      <c r="M24" s="51" t="inlineStr">
        <is>
          <t>reclean (cleaner change)</t>
        </is>
      </c>
      <c r="N24" s="51" t="n"/>
      <c r="O24" s="52" t="inlineStr">
        <is>
          <t>Yes</t>
        </is>
      </c>
      <c r="P24" s="51" t="n"/>
    </row>
    <row r="25" ht="49.05" customHeight="1">
      <c r="A25" s="3" t="inlineStr">
        <is>
          <t>Inside the Black Box: The Credit Channel of Monetary Policy Transmission</t>
        </is>
      </c>
      <c r="B25" s="3" t="inlineStr">
        <is>
          <t>Bernanke, B. &amp; Gertler, M.</t>
        </is>
      </c>
      <c r="C25" s="4" t="inlineStr">
        <is>
          <t>1995</t>
        </is>
      </c>
      <c r="D25" s="4" t="n">
        <v>5</v>
      </c>
      <c r="E25" s="6" t="inlineStr">
        <is>
          <t>Yes</t>
        </is>
      </c>
      <c r="F25" s="3" t="inlineStr">
        <is>
          <t>Paper</t>
        </is>
      </c>
      <c r="G25" s="3" t="inlineStr">
        <is>
          <t>#transmission_channels_financial_frictions</t>
        </is>
      </c>
      <c r="H25" s="3" t="inlineStr">
        <is>
          <t>The credit channel, accessible statement</t>
        </is>
      </c>
      <c r="I25" s="3" t="n"/>
      <c r="J25" s="51" t="inlineStr">
        <is>
          <t>credit_channel_transmission (Bernanke &amp; Gertler, 1995)</t>
        </is>
      </c>
      <c r="K25" s="53" t="inlineStr">
        <is>
          <t>Ingested</t>
        </is>
      </c>
      <c r="L25" s="52" t="inlineStr">
        <is>
          <t>2026-10-20</t>
        </is>
      </c>
      <c r="M25" s="51" t="inlineStr">
        <is>
          <t>reclean (cleaner change)</t>
        </is>
      </c>
      <c r="N25" s="51" t="n"/>
      <c r="O25" s="52" t="inlineStr">
        <is>
          <t>Yes</t>
        </is>
      </c>
      <c r="P25" s="51" t="n"/>
    </row>
    <row r="26" ht="109.05" customHeight="1">
      <c r="A26" s="3" t="inlineStr">
        <is>
          <t>The Financial Accelerator in a Quantitative Business Cycle Framework</t>
        </is>
      </c>
      <c r="B26" s="3" t="inlineStr">
        <is>
          <t>Bernanke, B., Gertler, M. &amp; Gilchrist, S.</t>
        </is>
      </c>
      <c r="C26" s="4" t="inlineStr">
        <is>
          <t>1999</t>
        </is>
      </c>
      <c r="D26" s="4" t="n">
        <v>5</v>
      </c>
      <c r="E26" s="6" t="inlineStr">
        <is>
          <t>Yes</t>
        </is>
      </c>
      <c r="F26" s="3" t="inlineStr">
        <is>
          <t>Handbook chapter</t>
        </is>
      </c>
      <c r="G26" s="3" t="inlineStr">
        <is>
          <t>#transmission_channels_financial_frictions</t>
        </is>
      </c>
      <c r="H26" s="3" t="inlineStr">
        <is>
          <t>Balance-sheet amplification of policy</t>
        </is>
      </c>
      <c r="I26" s="3" t="inlineStr">
        <is>
          <t>Copy in raw_pdf is the Handbook of Macroeconomics chapter (Northwestern course page), with an OCR text layer: prose reads, equations are garbled. Replaced the NBER WP 6455 scan, which had no text layer, on 2026-10-19.</t>
        </is>
      </c>
      <c r="J26" s="51" t="inlineStr">
        <is>
          <t>financial_accelerator (Bernanke, Gertler &amp; Gilchrist, 1999)</t>
        </is>
      </c>
      <c r="K26" s="53" t="inlineStr">
        <is>
          <t>Ingested</t>
        </is>
      </c>
      <c r="L26" s="52" t="inlineStr">
        <is>
          <t>2026-10-20</t>
        </is>
      </c>
      <c r="M26" s="51" t="inlineStr">
        <is>
          <t>reclean (cleaner change)</t>
        </is>
      </c>
      <c r="N26" s="51" t="n"/>
      <c r="O26" s="52" t="inlineStr">
        <is>
          <t>Yes</t>
        </is>
      </c>
      <c r="P26" s="51" t="n"/>
    </row>
    <row r="27" ht="124.05" customHeight="1">
      <c r="A27" s="3" t="inlineStr">
        <is>
          <t>Transmission Lags of Monetary Policy: A Meta-Analysis (IJCB)</t>
        </is>
      </c>
      <c r="B27" s="3" t="inlineStr">
        <is>
          <t>Havranek, T. &amp; Rusnak, M.</t>
        </is>
      </c>
      <c r="C27" s="4" t="n">
        <v>2013</v>
      </c>
      <c r="D27" s="4" t="n">
        <v>3</v>
      </c>
      <c r="E27" s="18" t="inlineStr">
        <is>
          <t>Yes</t>
        </is>
      </c>
      <c r="F27" s="3" t="inlineStr">
        <is>
          <t>Paper</t>
        </is>
      </c>
      <c r="G27" s="3" t="inlineStr">
        <is>
          <t>#transmission_channels_financial_frictions</t>
        </is>
      </c>
      <c r="H27" s="3" t="inlineStr">
        <is>
          <t>How long the Selic takes to reach prices — the basis for the "relevant horizon" and the memo's 1-year and 2-3-year horizons</t>
        </is>
      </c>
      <c r="I27" s="3" t="inlineStr">
        <is>
          <t>Acquisition priority: medium
Suggested file: transmission_lags_meta_analysis (Havranek &amp; Rusnak, 2013).pdf
Where to get it: Czech National Bank working-paper version; IJCB is open access (ijcb.org)</t>
        </is>
      </c>
      <c r="J27" s="51" t="inlineStr">
        <is>
          <t>transmission_lags_meta_analysis (Havranek &amp; Rusnak, 2013)</t>
        </is>
      </c>
      <c r="K27" s="53" t="inlineStr">
        <is>
          <t>Ingested</t>
        </is>
      </c>
      <c r="L27" s="52" t="inlineStr">
        <is>
          <t>2026-10-20</t>
        </is>
      </c>
      <c r="M27" s="51" t="inlineStr">
        <is>
          <t>reclean (cleaner change)</t>
        </is>
      </c>
      <c r="N27" s="51" t="n"/>
      <c r="O27" s="52" t="inlineStr">
        <is>
          <t>Yes</t>
        </is>
      </c>
      <c r="P27" s="51" t="n"/>
    </row>
    <row r="28" ht="34.05" customHeight="1">
      <c r="A28" s="3" t="inlineStr">
        <is>
          <t>It's Baaack: Japan's Slump and the Return of the Liquidity Trap</t>
        </is>
      </c>
      <c r="B28" s="3" t="inlineStr">
        <is>
          <t>Krugman, P.</t>
        </is>
      </c>
      <c r="C28" s="4" t="inlineStr">
        <is>
          <t>1998</t>
        </is>
      </c>
      <c r="D28" s="4" t="n">
        <v>5</v>
      </c>
      <c r="E28" s="6" t="inlineStr">
        <is>
          <t>Yes</t>
        </is>
      </c>
      <c r="F28" s="3" t="inlineStr">
        <is>
          <t>Paper</t>
        </is>
      </c>
      <c r="G28" s="3" t="inlineStr">
        <is>
          <t>#unconventional_policy_zlb</t>
        </is>
      </c>
      <c r="H28" s="3" t="inlineStr">
        <is>
          <t>The liquidity trap revived</t>
        </is>
      </c>
      <c r="I28" s="3" t="n"/>
      <c r="J28" s="51" t="inlineStr">
        <is>
          <t>liquidity_trap_japan (Krugman, 1998)</t>
        </is>
      </c>
      <c r="K28" s="53" t="inlineStr">
        <is>
          <t>Ingested</t>
        </is>
      </c>
      <c r="L28" s="52" t="inlineStr">
        <is>
          <t>2026-10-20</t>
        </is>
      </c>
      <c r="M28" s="51" t="inlineStr">
        <is>
          <t>reclean (cleaner change)</t>
        </is>
      </c>
      <c r="N28" s="51" t="n"/>
      <c r="O28" s="52" t="inlineStr">
        <is>
          <t>Yes</t>
        </is>
      </c>
      <c r="P28" s="51" t="n"/>
    </row>
    <row r="29" ht="64.05" customHeight="1">
      <c r="A29" s="3" t="inlineStr">
        <is>
          <t>The Zero Bound on Interest Rates and Optimal Monetary Policy</t>
        </is>
      </c>
      <c r="B29" s="3" t="inlineStr">
        <is>
          <t>Eggertsson, G. &amp; Woodford, M.</t>
        </is>
      </c>
      <c r="C29" s="4" t="inlineStr">
        <is>
          <t>2003</t>
        </is>
      </c>
      <c r="D29" s="4" t="n">
        <v>5</v>
      </c>
      <c r="E29" s="6" t="inlineStr">
        <is>
          <t>Yes</t>
        </is>
      </c>
      <c r="F29" s="3" t="inlineStr">
        <is>
          <t>Paper</t>
        </is>
      </c>
      <c r="G29" s="3" t="inlineStr">
        <is>
          <t>#unconventional_policy_zlb</t>
        </is>
      </c>
      <c r="H29" s="3" t="inlineStr">
        <is>
          <t>Optimal policy at the ZLB; origin of forward guidance as a tool</t>
        </is>
      </c>
      <c r="I29" s="3" t="n"/>
      <c r="J29" s="51" t="inlineStr">
        <is>
          <t>zero_bound_optimal_policy (Eggertsson &amp; Woodford, 2003)</t>
        </is>
      </c>
      <c r="K29" s="53" t="inlineStr">
        <is>
          <t>Ingested</t>
        </is>
      </c>
      <c r="L29" s="52" t="inlineStr">
        <is>
          <t>2026-10-20</t>
        </is>
      </c>
      <c r="M29" s="51" t="inlineStr">
        <is>
          <t>reclean (cleaner change)</t>
        </is>
      </c>
      <c r="N29" s="51" t="n"/>
      <c r="O29" s="52" t="inlineStr">
        <is>
          <t>Yes</t>
        </is>
      </c>
      <c r="P29" s="51" t="n"/>
    </row>
    <row r="30" ht="49.05" customHeight="1">
      <c r="A30" s="3" t="inlineStr">
        <is>
          <t>Monetary Policy Alternatives at the Zero Bound: An Empirical Assessment</t>
        </is>
      </c>
      <c r="B30" s="3" t="inlineStr">
        <is>
          <t>Bernanke, B., Reinhart, V. &amp; Sack, B.</t>
        </is>
      </c>
      <c r="C30" s="4" t="inlineStr">
        <is>
          <t>2004</t>
        </is>
      </c>
      <c r="D30" s="4" t="n">
        <v>4</v>
      </c>
      <c r="E30" s="6" t="inlineStr">
        <is>
          <t>Yes</t>
        </is>
      </c>
      <c r="F30" s="3" t="inlineStr">
        <is>
          <t>Paper</t>
        </is>
      </c>
      <c r="G30" s="3" t="inlineStr">
        <is>
          <t>#unconventional_policy_zlb</t>
        </is>
      </c>
      <c r="H30" s="3" t="inlineStr">
        <is>
          <t>The menu of alternatives later used in 2008-15</t>
        </is>
      </c>
      <c r="I30" s="3" t="n"/>
      <c r="J30" s="51" t="inlineStr">
        <is>
          <t>zero_bound_alternatives (Bernanke, Reinhart &amp; Sack, 2004)</t>
        </is>
      </c>
      <c r="K30" s="53" t="inlineStr">
        <is>
          <t>Ingested</t>
        </is>
      </c>
      <c r="L30" s="52" t="inlineStr">
        <is>
          <t>2026-10-20</t>
        </is>
      </c>
      <c r="M30" s="51" t="inlineStr">
        <is>
          <t>reclean (cleaner change)</t>
        </is>
      </c>
      <c r="N30" s="51" t="n"/>
      <c r="O30" s="52" t="inlineStr">
        <is>
          <t>Yes</t>
        </is>
      </c>
      <c r="P30" s="51" t="n"/>
    </row>
    <row r="31" ht="49.05" customHeight="1">
      <c r="A31" s="3" t="inlineStr">
        <is>
          <t>A Model of Unconventional Monetary Policy</t>
        </is>
      </c>
      <c r="B31" s="3" t="inlineStr">
        <is>
          <t>Gertler, M. &amp; Karadi, P.</t>
        </is>
      </c>
      <c r="C31" s="4" t="inlineStr">
        <is>
          <t>2011</t>
        </is>
      </c>
      <c r="D31" s="4" t="n">
        <v>4</v>
      </c>
      <c r="E31" s="6" t="inlineStr">
        <is>
          <t>Yes</t>
        </is>
      </c>
      <c r="F31" s="3" t="inlineStr">
        <is>
          <t>Paper</t>
        </is>
      </c>
      <c r="G31" s="3" t="inlineStr">
        <is>
          <t>#unconventional_policy_zlb</t>
        </is>
      </c>
      <c r="H31" s="3" t="inlineStr">
        <is>
          <t>Central-bank balance-sheet policy</t>
        </is>
      </c>
      <c r="I31" s="3" t="n"/>
      <c r="J31" s="51" t="inlineStr">
        <is>
          <t>unconventional_policy_model (Gertler &amp; Karadi, 2011)</t>
        </is>
      </c>
      <c r="K31" s="53" t="inlineStr">
        <is>
          <t>Ingested</t>
        </is>
      </c>
      <c r="L31" s="52" t="inlineStr">
        <is>
          <t>2026-10-20</t>
        </is>
      </c>
      <c r="M31" s="51" t="inlineStr">
        <is>
          <t>reclean (cleaner change)</t>
        </is>
      </c>
      <c r="N31" s="51" t="n"/>
      <c r="O31" s="52" t="inlineStr">
        <is>
          <t>Yes</t>
        </is>
      </c>
      <c r="P31" s="51" t="n"/>
    </row>
    <row r="32" ht="64.05" customHeight="1">
      <c r="A32" s="3" t="inlineStr">
        <is>
          <t>Dilemma not Trilemma: The Global Financial Cycle and Monetary Policy Independence</t>
        </is>
      </c>
      <c r="B32" s="3" t="inlineStr">
        <is>
          <t>Rey, H.</t>
        </is>
      </c>
      <c r="C32" s="4" t="inlineStr">
        <is>
          <t>2013</t>
        </is>
      </c>
      <c r="D32" s="4" t="n">
        <v>5</v>
      </c>
      <c r="E32" s="6" t="inlineStr">
        <is>
          <t>Yes</t>
        </is>
      </c>
      <c r="F32" s="3" t="inlineStr">
        <is>
          <t>Paper</t>
        </is>
      </c>
      <c r="G32" s="3" t="inlineStr">
        <is>
          <t>#global_spillovers_em_autonomy</t>
        </is>
      </c>
      <c r="H32" s="3" t="inlineStr">
        <is>
          <t>The global financial cycle limits EM autonomy even under a float</t>
        </is>
      </c>
      <c r="I32" s="3" t="n"/>
      <c r="J32" s="51" t="inlineStr">
        <is>
          <t>dilemma_not_trilemma (Rey, 2013)</t>
        </is>
      </c>
      <c r="K32" s="53" t="inlineStr">
        <is>
          <t>Ingested</t>
        </is>
      </c>
      <c r="L32" s="52" t="inlineStr">
        <is>
          <t>2026-10-20</t>
        </is>
      </c>
      <c r="M32" s="51" t="inlineStr">
        <is>
          <t>reclean (cleaner change)</t>
        </is>
      </c>
      <c r="N32" s="51" t="n"/>
      <c r="O32" s="52" t="inlineStr">
        <is>
          <t>Yes</t>
        </is>
      </c>
      <c r="P32" s="51" t="n"/>
    </row>
    <row r="33" ht="214.05" customHeight="1">
      <c r="A33" s="3" t="inlineStr">
        <is>
          <t>U.S. Monetary Policy and the Global Financial Cycle</t>
        </is>
      </c>
      <c r="B33" s="3" t="inlineStr">
        <is>
          <t>Miranda-Agrippino, S. &amp; Rey, H.</t>
        </is>
      </c>
      <c r="C33" s="4" t="inlineStr">
        <is>
          <t>2020</t>
        </is>
      </c>
      <c r="D33" s="4" t="n">
        <v>4</v>
      </c>
      <c r="E33" s="6" t="inlineStr">
        <is>
          <t>Yes</t>
        </is>
      </c>
      <c r="F33" s="3" t="inlineStr">
        <is>
          <t>Paper</t>
        </is>
      </c>
      <c r="G33" s="3" t="inlineStr">
        <is>
          <t>#global_spillovers_em_autonomy</t>
        </is>
      </c>
      <c r="H33" s="3" t="inlineStr">
        <is>
          <t>Quantifies the Fed's spillover</t>
        </is>
      </c>
      <c r="I33" s="3" t="n"/>
      <c r="J33" s="51" t="inlineStr">
        <is>
          <t>us_monetary_policy_global_cycle (Miranda-Agrippino &amp; Rey, 2020)</t>
        </is>
      </c>
      <c r="K33" s="53" t="inlineStr">
        <is>
          <t>Ingested</t>
        </is>
      </c>
      <c r="L33" s="52" t="inlineStr">
        <is>
          <t>2026-10-20</t>
        </is>
      </c>
      <c r="M33" s="51" t="inlineStr">
        <is>
          <t>reclean (cleaner change)</t>
        </is>
      </c>
      <c r="N33" s="51" t="n"/>
      <c r="O33" s="52" t="inlineStr">
        <is>
          <t>Yes</t>
        </is>
      </c>
      <c r="P33" s="51" t="n"/>
    </row>
    <row r="34" ht="64.05" customHeight="1">
      <c r="A34" s="3" t="inlineStr">
        <is>
          <t>Trilemma and Trade-offs: Living with Financial Globalization</t>
        </is>
      </c>
      <c r="B34" s="3" t="inlineStr">
        <is>
          <t>Obstfeld, M.</t>
        </is>
      </c>
      <c r="C34" s="4" t="inlineStr">
        <is>
          <t>2015</t>
        </is>
      </c>
      <c r="D34" s="4" t="n">
        <v>4</v>
      </c>
      <c r="E34" s="6" t="inlineStr">
        <is>
          <t>Yes</t>
        </is>
      </c>
      <c r="F34" s="3" t="inlineStr">
        <is>
          <t>Paper</t>
        </is>
      </c>
      <c r="G34" s="3" t="inlineStr">
        <is>
          <t>#global_spillovers_em_autonomy</t>
        </is>
      </c>
      <c r="H34" s="3" t="inlineStr">
        <is>
          <t>The counterpoint: floating plus tools still buys autonomy</t>
        </is>
      </c>
      <c r="I34" s="3" t="n"/>
      <c r="J34" s="51" t="inlineStr">
        <is>
          <t>trilemma_tradeoffs (Obstfeld, 2015)</t>
        </is>
      </c>
      <c r="K34" s="53" t="inlineStr">
        <is>
          <t>Ingested</t>
        </is>
      </c>
      <c r="L34" s="52" t="inlineStr">
        <is>
          <t>2026-10-20</t>
        </is>
      </c>
      <c r="M34" s="51" t="inlineStr">
        <is>
          <t>reclean (cleaner change)</t>
        </is>
      </c>
      <c r="N34" s="51" t="n"/>
      <c r="O34" s="52" t="inlineStr">
        <is>
          <t>Yes</t>
        </is>
      </c>
      <c r="P34" s="51" t="n"/>
    </row>
    <row r="35" ht="124.05" customHeight="1">
      <c r="A35" s="3" t="inlineStr">
        <is>
          <t>U.S. Monetary Policy and International Risk Spillovers (Jackson Hole)</t>
        </is>
      </c>
      <c r="B35" s="3" t="inlineStr">
        <is>
          <t>Kalemli-Özcan, Ş.</t>
        </is>
      </c>
      <c r="C35" s="4" t="n">
        <v>2019</v>
      </c>
      <c r="D35" s="4" t="n">
        <v>4</v>
      </c>
      <c r="E35" s="18" t="inlineStr">
        <is>
          <t>Yes</t>
        </is>
      </c>
      <c r="F35" s="3" t="inlineStr">
        <is>
          <t>Paper</t>
        </is>
      </c>
      <c r="G35" s="3" t="inlineStr">
        <is>
          <t>#global_spillovers_em_autonomy</t>
        </is>
      </c>
      <c r="H35" s="3" t="inlineStr">
        <is>
          <t>The Fed reaches EMs through the risk premium, not the rate differential — the channel that makes UIP fail in the BRL</t>
        </is>
      </c>
      <c r="I35" s="3" t="inlineStr">
        <is>
          <t>Acquisition priority: medium
Suggested file: us_policy_international_risk_spillovers (Kalemli-Ozcan, 2019).pdf
Where to get it: NBER WP 26297 / Kansas City Fed symposium page</t>
        </is>
      </c>
      <c r="J35" s="51" t="inlineStr">
        <is>
          <t>us_policy_international_risk_spillovers (Kalemli-Ozcan, 2019)</t>
        </is>
      </c>
      <c r="K35" s="53" t="inlineStr">
        <is>
          <t>Ingested</t>
        </is>
      </c>
      <c r="L35" s="52" t="inlineStr">
        <is>
          <t>2026-10-20</t>
        </is>
      </c>
      <c r="M35" s="51" t="inlineStr">
        <is>
          <t>reclean (cleaner change)</t>
        </is>
      </c>
      <c r="N35" s="51" t="n"/>
      <c r="O35" s="52" t="inlineStr">
        <is>
          <t>Yes</t>
        </is>
      </c>
      <c r="P35" s="51" t="n"/>
    </row>
    <row r="36" ht="154.05" customHeight="1">
      <c r="A36" s="3" t="inlineStr">
        <is>
          <t>Two Targets, Two Instruments (IMF SDN 12/01)</t>
        </is>
      </c>
      <c r="B36" s="3" t="inlineStr">
        <is>
          <t>Ostry, J., Ghosh, A. &amp; Chamon, M.</t>
        </is>
      </c>
      <c r="C36" s="4" t="n">
        <v>2012</v>
      </c>
      <c r="D36" s="4" t="n">
        <v>4</v>
      </c>
      <c r="E36" s="31" t="inlineStr">
        <is>
          <t>Yes</t>
        </is>
      </c>
      <c r="F36" s="3" t="inlineStr">
        <is>
          <t>Paper</t>
        </is>
      </c>
      <c r="G36" s="3" t="inlineStr">
        <is>
          <t>#global_spillovers_em_autonomy</t>
        </is>
      </c>
      <c r="H36" s="3" t="inlineStr">
        <is>
          <t>Rate vs. FX intervention under IT: the instrument choice in S4. Coordinate with the exchange-rate bibliography, which owns the capital-controls side</t>
        </is>
      </c>
      <c r="I36" s="3" t="inlineStr">
        <is>
          <t>Acquisition priority: medium
Suggested file: two_targets_two_instruments (Ostry, Ghosh &amp; Chamon, 2012).pdf
Where to get it: imf.org — manual download (see the IMF note below)
imf.org refuses scripted downloads: save the PDF from a browser into raw_pdf/</t>
        </is>
      </c>
      <c r="J36" s="51" t="inlineStr">
        <is>
          <t>two_targets_two_instruments (Ostry, Ghosh &amp; Chamon, 2012)</t>
        </is>
      </c>
      <c r="K36" s="53" t="inlineStr">
        <is>
          <t>Ingested</t>
        </is>
      </c>
      <c r="L36" s="52" t="inlineStr">
        <is>
          <t>2026-10-20</t>
        </is>
      </c>
      <c r="M36" s="51" t="inlineStr">
        <is>
          <t>reclean (cleaner change)</t>
        </is>
      </c>
      <c r="N36" s="51" t="n"/>
      <c r="O36" s="52" t="n"/>
      <c r="P36" s="51" t="n"/>
    </row>
    <row r="37" ht="214.05" customHeight="1">
      <c r="A37" s="3" t="inlineStr">
        <is>
          <t>Systematic Monetary Policy and the Forward Premium Puzzle (BIS WP 396)</t>
        </is>
      </c>
      <c r="B37" s="3" t="inlineStr">
        <is>
          <t>Tambakis, D. &amp; Tarashev, N.</t>
        </is>
      </c>
      <c r="C37" s="4" t="n">
        <v>2012</v>
      </c>
      <c r="D37" s="4" t="n">
        <v>3</v>
      </c>
      <c r="E37" s="6" t="inlineStr">
        <is>
          <t>Yes</t>
        </is>
      </c>
      <c r="F37" s="3" t="inlineStr">
        <is>
          <t>Paper</t>
        </is>
      </c>
      <c r="G37" s="3" t="inlineStr">
        <is>
          <t>#global_spillovers_em_autonomy</t>
        </is>
      </c>
      <c r="H37" s="3" t="inlineStr">
        <is>
          <t>The policy rule as an explanation of UIP failure — shared with exchange rate</t>
        </is>
      </c>
      <c r="I37" s="3" t="n"/>
      <c r="J37" s="51" t="inlineStr">
        <is>
          <t>systematic_monetary_policy_forward_premium_puzzle (Tambakis &amp; Tarashev, 2012)</t>
        </is>
      </c>
      <c r="K37" s="53" t="inlineStr">
        <is>
          <t>Ingested</t>
        </is>
      </c>
      <c r="L37" s="52" t="inlineStr">
        <is>
          <t>2026-10-20</t>
        </is>
      </c>
      <c r="M37" s="51" t="inlineStr">
        <is>
          <t>reclean (cleaner change)</t>
        </is>
      </c>
      <c r="N37" s="51" t="n"/>
      <c r="O37" s="52" t="n"/>
      <c r="P37" s="51" t="n"/>
    </row>
    <row r="38" ht="49.05" customHeight="1">
      <c r="A38" s="3" t="inlineStr">
        <is>
          <t>Monetary policy transmission to exchange rates: the role of currency carry trades (BIS Bulletin 124)</t>
        </is>
      </c>
      <c r="B38" s="3" t="inlineStr">
        <is>
          <t>Bank for International Settlements</t>
        </is>
      </c>
      <c r="C38" s="4" t="n">
        <v>2026</v>
      </c>
      <c r="D38" s="4" t="n">
        <v>3</v>
      </c>
      <c r="E38" s="6" t="inlineStr">
        <is>
          <t>Yes</t>
        </is>
      </c>
      <c r="F38" s="3" t="inlineStr">
        <is>
          <t>Paper</t>
        </is>
      </c>
      <c r="G38" s="3" t="inlineStr">
        <is>
          <t>#global_spillovers_em_autonomy</t>
        </is>
      </c>
      <c r="H38" s="3" t="inlineStr">
        <is>
          <t>Policy → FX through carry positioning</t>
        </is>
      </c>
      <c r="I38" s="3" t="n"/>
      <c r="J38" s="51" t="inlineStr">
        <is>
          <t>monetary_policy_exchange_rates (BIS, 2026)</t>
        </is>
      </c>
      <c r="K38" s="53" t="inlineStr">
        <is>
          <t>Ingested</t>
        </is>
      </c>
      <c r="L38" s="52" t="inlineStr">
        <is>
          <t>2026-10-20</t>
        </is>
      </c>
      <c r="M38" s="51" t="inlineStr">
        <is>
          <t>reclean (cleaner change)</t>
        </is>
      </c>
      <c r="N38" s="51" t="n"/>
      <c r="O38" s="52" t="inlineStr">
        <is>
          <t>Yes</t>
        </is>
      </c>
      <c r="P38" s="51" t="n"/>
    </row>
    <row r="39" ht="49.05" customHeight="1">
      <c r="A39" s="3" t="inlineStr">
        <is>
          <t>Implementing Inflation Targeting in Brazil</t>
        </is>
      </c>
      <c r="B39" s="3" t="inlineStr">
        <is>
          <t>Bogdanski, J., Tombini, A. &amp; Werlang, S.</t>
        </is>
      </c>
      <c r="C39" s="4" t="inlineStr">
        <is>
          <t>2000</t>
        </is>
      </c>
      <c r="D39" s="4" t="n">
        <v>5</v>
      </c>
      <c r="E39" s="6" t="inlineStr">
        <is>
          <t>Yes</t>
        </is>
      </c>
      <c r="F39" s="3" t="inlineStr">
        <is>
          <t>Paper</t>
        </is>
      </c>
      <c r="G39" s="3" t="inlineStr">
        <is>
          <t>#brazil_monetary_policy</t>
        </is>
      </c>
      <c r="H39" s="3" t="inlineStr">
        <is>
          <t>The regime's founding design</t>
        </is>
      </c>
      <c r="I39" s="3" t="n"/>
      <c r="J39" s="51" t="inlineStr">
        <is>
          <t>implementing_it_brazil (Bogdanski, Tombini &amp; Werlang, 2000)</t>
        </is>
      </c>
      <c r="K39" s="53" t="inlineStr">
        <is>
          <t>Ingested</t>
        </is>
      </c>
      <c r="L39" s="52" t="inlineStr">
        <is>
          <t>2026-10-20</t>
        </is>
      </c>
      <c r="M39" s="51" t="inlineStr">
        <is>
          <t>reclean (cleaner change)</t>
        </is>
      </c>
      <c r="N39" s="51" t="n"/>
      <c r="O39" s="52" t="inlineStr">
        <is>
          <t>Yes</t>
        </is>
      </c>
      <c r="P39" s="51" t="n"/>
    </row>
    <row r="40" ht="64.05" customHeight="1">
      <c r="A40" s="3" t="inlineStr">
        <is>
          <t>Inflation Targeting in Brazil: Lessons and Challenges</t>
        </is>
      </c>
      <c r="B40" s="3" t="inlineStr">
        <is>
          <t>Minella, A., Freitas, P.S., Goldfajn, I. &amp; Muinhos, M.K.</t>
        </is>
      </c>
      <c r="C40" s="4" t="inlineStr">
        <is>
          <t>2002</t>
        </is>
      </c>
      <c r="D40" s="4" t="n">
        <v>4</v>
      </c>
      <c r="E40" s="6" t="inlineStr">
        <is>
          <t>Yes</t>
        </is>
      </c>
      <c r="F40" s="3" t="inlineStr">
        <is>
          <t>Paper</t>
        </is>
      </c>
      <c r="G40" s="3" t="inlineStr">
        <is>
          <t>#brazil_monetary_policy</t>
        </is>
      </c>
      <c r="H40" s="3" t="inlineStr">
        <is>
          <t>The regime's early progress report</t>
        </is>
      </c>
      <c r="I40" s="3" t="n"/>
      <c r="J40" s="51" t="inlineStr">
        <is>
          <t>it_lessons_and_challenges (Minella et al., 2002)</t>
        </is>
      </c>
      <c r="K40" s="53" t="inlineStr">
        <is>
          <t>Ingested</t>
        </is>
      </c>
      <c r="L40" s="52" t="inlineStr">
        <is>
          <t>2026-10-20</t>
        </is>
      </c>
      <c r="M40" s="51" t="inlineStr">
        <is>
          <t>reclean (cleaner change)</t>
        </is>
      </c>
      <c r="N40" s="51" t="n"/>
      <c r="O40" s="52" t="inlineStr">
        <is>
          <t>Yes</t>
        </is>
      </c>
      <c r="P40" s="51" t="n"/>
    </row>
    <row r="41" ht="94.05" customHeight="1">
      <c r="A41" s="3" t="inlineStr">
        <is>
          <t>Inflation Targeting in Brazil: Constructing Credibility under Exchange Rate Volatility</t>
        </is>
      </c>
      <c r="B41" s="3" t="inlineStr">
        <is>
          <t>Minella, A., Freitas, P.S., Goldfajn, I. &amp; Muinhos, M.K.</t>
        </is>
      </c>
      <c r="C41" s="4" t="inlineStr">
        <is>
          <t>2003</t>
        </is>
      </c>
      <c r="D41" s="4" t="n">
        <v>5</v>
      </c>
      <c r="E41" s="6" t="inlineStr">
        <is>
          <t>Yes</t>
        </is>
      </c>
      <c r="F41" s="3" t="inlineStr">
        <is>
          <t>Paper</t>
        </is>
      </c>
      <c r="G41" s="3" t="inlineStr">
        <is>
          <t>#brazil_monetary_policy</t>
        </is>
      </c>
      <c r="H41" s="3" t="inlineStr">
        <is>
          <t>Credibility built through the 2002 FX shock; an early estimated reaction function</t>
        </is>
      </c>
      <c r="I41" s="3" t="n"/>
      <c r="J41" s="51" t="inlineStr">
        <is>
          <t>it_credibility_fx_volatility (Minella et al., 2003)</t>
        </is>
      </c>
      <c r="K41" s="53" t="inlineStr">
        <is>
          <t>Ingested</t>
        </is>
      </c>
      <c r="L41" s="52" t="inlineStr">
        <is>
          <t>2026-10-20</t>
        </is>
      </c>
      <c r="M41" s="51" t="inlineStr">
        <is>
          <t>reclean (cleaner change)</t>
        </is>
      </c>
      <c r="N41" s="51" t="n"/>
      <c r="O41" s="52" t="inlineStr">
        <is>
          <t>Yes</t>
        </is>
      </c>
      <c r="P41" s="51" t="n"/>
    </row>
    <row r="42" ht="64.05" customHeight="1">
      <c r="A42" s="3" t="inlineStr">
        <is>
          <t>Fiscal Dominance and Inflation Targeting: Lessons from Brazil</t>
        </is>
      </c>
      <c r="B42" s="3" t="inlineStr">
        <is>
          <t>Blanchard, O.</t>
        </is>
      </c>
      <c r="C42" s="4" t="inlineStr">
        <is>
          <t>2004</t>
        </is>
      </c>
      <c r="D42" s="4" t="n">
        <v>5</v>
      </c>
      <c r="E42" s="6" t="inlineStr">
        <is>
          <t>Yes</t>
        </is>
      </c>
      <c r="F42" s="3" t="inlineStr">
        <is>
          <t>Paper</t>
        </is>
      </c>
      <c r="G42" s="3" t="inlineStr">
        <is>
          <t>#brazil_monetary_policy</t>
        </is>
      </c>
      <c r="H42" s="3" t="inlineStr">
        <is>
          <t>When a hike depreciates the BRL through the fiscal/risk channel</t>
        </is>
      </c>
      <c r="I42" s="3" t="n"/>
      <c r="J42" s="51" t="inlineStr">
        <is>
          <t>fiscal_dominance_it_brazil (Blanchard, 2004)</t>
        </is>
      </c>
      <c r="K42" s="53" t="inlineStr">
        <is>
          <t>Ingested</t>
        </is>
      </c>
      <c r="L42" s="52" t="inlineStr">
        <is>
          <t>2026-10-20</t>
        </is>
      </c>
      <c r="M42" s="51" t="inlineStr">
        <is>
          <t>reclean (cleaner change)</t>
        </is>
      </c>
      <c r="N42" s="51" t="n"/>
      <c r="O42" s="52" t="inlineStr">
        <is>
          <t>Yes</t>
        </is>
      </c>
      <c r="P42" s="51" t="n"/>
    </row>
    <row r="43" ht="49.05" customHeight="1">
      <c r="A43" s="3" t="inlineStr">
        <is>
          <t>Inflation Targeting and Debt: Lessons from Brazil</t>
        </is>
      </c>
      <c r="B43" s="3" t="inlineStr">
        <is>
          <t>Favero, C. &amp; Giavazzi, F.</t>
        </is>
      </c>
      <c r="C43" s="4" t="inlineStr">
        <is>
          <t>2004</t>
        </is>
      </c>
      <c r="D43" s="4" t="n">
        <v>4</v>
      </c>
      <c r="E43" s="6" t="inlineStr">
        <is>
          <t>Yes</t>
        </is>
      </c>
      <c r="F43" s="3" t="inlineStr">
        <is>
          <t>Paper</t>
        </is>
      </c>
      <c r="G43" s="3" t="inlineStr">
        <is>
          <t>#brazil_monetary_policy</t>
        </is>
      </c>
      <c r="H43" s="3" t="inlineStr">
        <is>
          <t>The empirical companion to Blanchard</t>
        </is>
      </c>
      <c r="I43" s="3" t="n"/>
      <c r="J43" s="51" t="inlineStr">
        <is>
          <t>it_and_debt_brazil (Favero &amp; Giavazzi, 2004)</t>
        </is>
      </c>
      <c r="K43" s="53" t="inlineStr">
        <is>
          <t>Ingested</t>
        </is>
      </c>
      <c r="L43" s="52" t="inlineStr">
        <is>
          <t>2026-10-20</t>
        </is>
      </c>
      <c r="M43" s="51" t="inlineStr">
        <is>
          <t>reclean (cleaner change)</t>
        </is>
      </c>
      <c r="N43" s="51" t="n"/>
      <c r="O43" s="52" t="inlineStr">
        <is>
          <t>Yes</t>
        </is>
      </c>
      <c r="P43" s="51" t="n"/>
    </row>
    <row r="44" ht="199.05" customHeight="1">
      <c r="A44" s="3" t="inlineStr">
        <is>
          <t>Comparing Equilibrium Real Interest Rates: Different Approaches to Measure Brazilian Rates</t>
        </is>
      </c>
      <c r="B44" s="3" t="inlineStr">
        <is>
          <t>Muinhos, M. &amp; Nakane, M.</t>
        </is>
      </c>
      <c r="C44" s="4" t="inlineStr">
        <is>
          <t>2006</t>
        </is>
      </c>
      <c r="D44" s="4" t="n">
        <v>3</v>
      </c>
      <c r="E44" s="6" t="inlineStr">
        <is>
          <t>Yes</t>
        </is>
      </c>
      <c r="F44" s="3" t="inlineStr">
        <is>
          <t>Paper</t>
        </is>
      </c>
      <c r="G44" s="3" t="inlineStr">
        <is>
          <t>#brazil_monetary_policy</t>
        </is>
      </c>
      <c r="H44" s="3" t="inlineStr">
        <is>
          <t>Early Brazil neutral-rate estimates; superseded on the level by cluster 12</t>
        </is>
      </c>
      <c r="I44" s="3" t="n"/>
      <c r="J44" s="51" t="inlineStr">
        <is>
          <t>neutral_rate_brazil (Muinhos &amp; Nakane, 2006)</t>
        </is>
      </c>
      <c r="K44" s="53" t="inlineStr">
        <is>
          <t>Ingested</t>
        </is>
      </c>
      <c r="L44" s="52" t="inlineStr">
        <is>
          <t>2026-10-20</t>
        </is>
      </c>
      <c r="M44" s="51" t="inlineStr">
        <is>
          <t>reclean (cleaner change)</t>
        </is>
      </c>
      <c r="N44" s="51" t="n"/>
      <c r="O44" s="52" t="n"/>
      <c r="P44" s="51" t="n"/>
    </row>
    <row r="45" ht="124.05" customHeight="1">
      <c r="A45" s="3" t="inlineStr">
        <is>
          <t>Credit, Interest, and Jurisdictional Uncertainty: Conjectures on the Case of Brazil</t>
        </is>
      </c>
      <c r="B45" s="3" t="inlineStr">
        <is>
          <t>Arida, P., Bacha, E. &amp; Lara-Resende, A.</t>
        </is>
      </c>
      <c r="C45" s="4" t="n">
        <v>2005</v>
      </c>
      <c r="D45" s="4" t="n">
        <v>4</v>
      </c>
      <c r="E45" s="18" t="inlineStr">
        <is>
          <t>Yes</t>
        </is>
      </c>
      <c r="F45" s="3" t="inlineStr">
        <is>
          <t>Book chapter</t>
        </is>
      </c>
      <c r="G45" s="3" t="inlineStr">
        <is>
          <t>#brazil_monetary_policy</t>
        </is>
      </c>
      <c r="H45" s="3" t="inlineStr">
        <is>
          <t>The classic thesis on why Brazil's rates are so high. Same volume holds the published versions of Blanchard and Favero-Giavazzi</t>
        </is>
      </c>
      <c r="I45" s="3" t="inlineStr">
        <is>
          <t>Acquisition priority: medium
Suggested file: credit_interest_jurisdictional_uncertainty (Arida, Bacha &amp; Lara-Resende, 2005).pdf
Where to get it: Book chapter; look for the IEPE/Casa das Garças working-paper version</t>
        </is>
      </c>
      <c r="J45" s="51" t="inlineStr">
        <is>
          <t>credit_interest_jurisdictional_uncertainty (Arida, Bacha &amp; Lara-Resende, 2005)</t>
        </is>
      </c>
      <c r="K45" s="53" t="inlineStr">
        <is>
          <t>Ingested</t>
        </is>
      </c>
      <c r="L45" s="52" t="inlineStr">
        <is>
          <t>2026-10-20</t>
        </is>
      </c>
      <c r="M45" s="51" t="inlineStr">
        <is>
          <t>reclean (cleaner change)</t>
        </is>
      </c>
      <c r="N45" s="51" t="n"/>
      <c r="O45" s="52" t="n"/>
      <c r="P45" s="51" t="n"/>
    </row>
    <row r="46" ht="124.05" customHeight="1">
      <c r="A46" s="3" t="inlineStr">
        <is>
          <t>SAMBA: Stochastic Analytical Model with a Bayesian Approach (BCB WP 239 (+ the updated version, BCB WP 578))</t>
        </is>
      </c>
      <c r="B46" s="3" t="inlineStr">
        <is>
          <t>de Castro, M., Gouvea, S., Minella, A., Santos, R. &amp; Souza-Sobrinho, N.</t>
        </is>
      </c>
      <c r="C46" s="4" t="n">
        <v>2011</v>
      </c>
      <c r="D46" s="4" t="n">
        <v>4</v>
      </c>
      <c r="E46" s="18" t="inlineStr">
        <is>
          <t>Yes</t>
        </is>
      </c>
      <c r="F46" s="3" t="inlineStr">
        <is>
          <t>Paper</t>
        </is>
      </c>
      <c r="G46" s="3" t="inlineStr">
        <is>
          <t>#brazil_monetary_policy</t>
        </is>
      </c>
      <c r="H46" s="3" t="inlineStr">
        <is>
          <t>The BCB's own DSGE: fiscal surplus target, administered prices, external finance</t>
        </is>
      </c>
      <c r="I46" s="3" t="inlineStr">
        <is>
          <t>Acquisition priority: medium
Suggested file: samba_dsge_brazil (de Castro et al., 2011).pdf and samba_dsge_brazil_update (BCB WP 578).pdf (confirm authors/year of 578 on acquisition)
Where to get it: bcb.gov.br/pec/wps/ingl/wps239.pdf, wps578.pdf</t>
        </is>
      </c>
      <c r="J46" s="51" t="inlineStr">
        <is>
          <t>samba_dsge_brazil (de Castro et al., 2011)</t>
        </is>
      </c>
      <c r="K46" s="53" t="inlineStr">
        <is>
          <t>Ingested</t>
        </is>
      </c>
      <c r="L46" s="52" t="inlineStr">
        <is>
          <t>2026-10-20</t>
        </is>
      </c>
      <c r="M46" s="51" t="inlineStr">
        <is>
          <t>reclean (cleaner change)</t>
        </is>
      </c>
      <c r="N46" s="51" t="n"/>
      <c r="O46" s="52" t="n"/>
      <c r="P46" s="51" t="n"/>
    </row>
    <row r="47" ht="169.05" customHeight="1">
      <c r="A47" s="3" t="inlineStr">
        <is>
          <t>Monetary Policy Channels in Brazil through the Lens of a Semi-Structural Model (Economic Modelling (BCB WP 181, 2009))</t>
        </is>
      </c>
      <c r="B47" s="3" t="inlineStr">
        <is>
          <t>Minella, A. &amp; Souza-Sobrinho, N.</t>
        </is>
      </c>
      <c r="C47" s="4" t="n">
        <v>2013</v>
      </c>
      <c r="D47" s="4" t="n">
        <v>4</v>
      </c>
      <c r="E47" s="6" t="inlineStr">
        <is>
          <t>Yes</t>
        </is>
      </c>
      <c r="F47" s="3" t="inlineStr">
        <is>
          <t>Paper</t>
        </is>
      </c>
      <c r="G47" s="3" t="inlineStr">
        <is>
          <t>#brazil_monetary_policy</t>
        </is>
      </c>
      <c r="H47" s="3" t="inlineStr">
        <is>
          <t>Splits Brazil's transmission into household rate, firm rate and FX channels; same family as the model analytics/brasil/structural_model/ replicates</t>
        </is>
      </c>
      <c r="I47" s="3" t="n"/>
      <c r="J47" s="51" t="inlineStr">
        <is>
          <t>monetary_channels_brazil_semi_structural (Minella &amp; Souza-Sobrinho, 2013)</t>
        </is>
      </c>
      <c r="K47" s="53" t="inlineStr">
        <is>
          <t>Ingested</t>
        </is>
      </c>
      <c r="L47" s="52" t="inlineStr">
        <is>
          <t>2026-10-20</t>
        </is>
      </c>
      <c r="M47" s="51" t="inlineStr">
        <is>
          <t>reclean (cleaner change)</t>
        </is>
      </c>
      <c r="N47" s="51" t="n"/>
      <c r="O47" s="52" t="n"/>
      <c r="P47" s="51" t="n"/>
    </row>
    <row r="48" ht="94.05" customHeight="1">
      <c r="A48" s="3" t="inlineStr">
        <is>
          <t>The Impact of Monetary Policy on the Exchange Rate: A High Frequency Exchange Rate Puzzle in Emerging Economies (JIMF (BCB WP 259, 2011))</t>
        </is>
      </c>
      <c r="B48" s="3" t="inlineStr">
        <is>
          <t>Kohlscheen, E.</t>
        </is>
      </c>
      <c r="C48" s="4" t="n">
        <v>2014</v>
      </c>
      <c r="D48" s="4" t="n">
        <v>3</v>
      </c>
      <c r="E48" s="6" t="inlineStr">
        <is>
          <t>Yes</t>
        </is>
      </c>
      <c r="F48" s="3" t="inlineStr">
        <is>
          <t>Paper</t>
        </is>
      </c>
      <c r="G48" s="3" t="inlineStr">
        <is>
          <t>#brazil_monetary_policy</t>
        </is>
      </c>
      <c r="H48" s="3" t="inlineStr">
        <is>
          <t>Brazil's own evidence for S2: on decision days a hike does not appreciate the BRL</t>
        </is>
      </c>
      <c r="I48" s="3" t="n"/>
      <c r="J48" s="51" t="inlineStr">
        <is>
          <t>monetary_policy_fx_puzzle_em (Kohlscheen, 2014)</t>
        </is>
      </c>
      <c r="K48" s="53" t="inlineStr">
        <is>
          <t>Ingested</t>
        </is>
      </c>
      <c r="L48" s="52" t="inlineStr">
        <is>
          <t>2026-10-20</t>
        </is>
      </c>
      <c r="M48" s="51" t="inlineStr">
        <is>
          <t>reclean (cleaner change)</t>
        </is>
      </c>
      <c r="N48" s="51" t="n"/>
      <c r="O48" s="52" t="n"/>
      <c r="P48" s="51" t="n"/>
    </row>
    <row r="49" ht="94.05" customHeight="1">
      <c r="A49" s="3" t="inlineStr">
        <is>
          <t>The Impact of Government-Driven Loans in the Monetary Transmission Mechanism (BCB WP 419)</t>
        </is>
      </c>
      <c r="B49" s="3" t="inlineStr">
        <is>
          <t>Bonomo, M. &amp; Martins, B.</t>
        </is>
      </c>
      <c r="C49" s="4" t="n">
        <v>2016</v>
      </c>
      <c r="D49" s="4" t="n">
        <v>3</v>
      </c>
      <c r="E49" s="18" t="inlineStr">
        <is>
          <t>Yes</t>
        </is>
      </c>
      <c r="F49" s="3" t="inlineStr">
        <is>
          <t>Paper</t>
        </is>
      </c>
      <c r="G49" s="3" t="inlineStr">
        <is>
          <t>#brazil_monetary_policy</t>
        </is>
      </c>
      <c r="H49" s="3" t="inlineStr">
        <is>
          <t>Earmarked credit weakens the credit channel — the "half-power" of the Selic</t>
        </is>
      </c>
      <c r="I49" s="3" t="inlineStr">
        <is>
          <t>Acquisition priority: medium
Suggested file: directed_credit_monetary_transmission (Bonomo &amp; Martins, 2016).pdf
Where to get it: bcb.gov.br/pec/wps/ingl/wps419.pdf</t>
        </is>
      </c>
      <c r="J49" s="51" t="inlineStr">
        <is>
          <t>directed_credit_monetary_transmission (Bonomo &amp; Martins, 2016)</t>
        </is>
      </c>
      <c r="K49" s="53" t="inlineStr">
        <is>
          <t>Ingested</t>
        </is>
      </c>
      <c r="L49" s="52" t="inlineStr">
        <is>
          <t>2026-10-20</t>
        </is>
      </c>
      <c r="M49" s="51" t="inlineStr">
        <is>
          <t>reclean (cleaner change)</t>
        </is>
      </c>
      <c r="N49" s="51" t="n"/>
      <c r="O49" s="52" t="n"/>
      <c r="P49" s="51" t="n"/>
    </row>
    <row r="50" ht="94.05" customHeight="1">
      <c r="A50" s="3" t="inlineStr">
        <is>
          <t>Uncertainty and the Effectiveness of Policy (AER P&amp;P)</t>
        </is>
      </c>
      <c r="B50" s="3" t="inlineStr">
        <is>
          <t>Brainard, W.</t>
        </is>
      </c>
      <c r="C50" s="4" t="n">
        <v>1967</v>
      </c>
      <c r="D50" s="4" t="n">
        <v>5</v>
      </c>
      <c r="E50" s="5" t="inlineStr">
        <is>
          <t>No</t>
        </is>
      </c>
      <c r="F50" s="3" t="inlineStr">
        <is>
          <t>Paper</t>
        </is>
      </c>
      <c r="G50" s="3" t="inlineStr">
        <is>
          <t>#reaction_function_and_gradualism</t>
        </is>
      </c>
      <c r="H50" s="3" t="inlineStr">
        <is>
          <t>Parameter uncertainty makes the optimal response smaller — the root of gradualism</t>
        </is>
      </c>
      <c r="I50" s="3" t="inlineStr">
        <is>
          <t>Acquisition priority: medium
Suggested file: uncertainty_policy_effectiveness (Brainard, 1967).pdf
Where to get it: JSTOR (paywalled); no free copy checked yet</t>
        </is>
      </c>
      <c r="J50" s="51" t="n"/>
      <c r="K50" s="52" t="n"/>
      <c r="L50" s="52" t="n"/>
      <c r="M50" s="51" t="n"/>
      <c r="N50" s="51" t="n"/>
      <c r="O50" s="52" t="n"/>
      <c r="P50" s="51" t="n"/>
    </row>
    <row r="51" ht="139.05" customHeight="1">
      <c r="A51" s="3" t="inlineStr">
        <is>
          <t>Monetary Policy Rules and Macroeconomic Stability: Evidence and Some Theory (QJE)</t>
        </is>
      </c>
      <c r="B51" s="3" t="inlineStr">
        <is>
          <t>Clarida, R., Galí, J. &amp; Gertler, M.</t>
        </is>
      </c>
      <c r="C51" s="4" t="n">
        <v>2000</v>
      </c>
      <c r="D51" s="4" t="n">
        <v>5</v>
      </c>
      <c r="E51" s="6" t="inlineStr">
        <is>
          <t>Yes</t>
        </is>
      </c>
      <c r="F51" s="3" t="inlineStr">
        <is>
          <t>Paper</t>
        </is>
      </c>
      <c r="G51" s="3" t="inlineStr">
        <is>
          <t>#reaction_function_and_gradualism</t>
        </is>
      </c>
      <c r="H51" s="3" t="inlineStr">
        <is>
          <t>The template for estimating a forward-looking reaction function with smoothing; the Taylor principle as a stability condition (S4)</t>
        </is>
      </c>
      <c r="I51" s="3" t="n"/>
      <c r="J51" s="51" t="inlineStr">
        <is>
          <t>monetary_policy_rules_stability (Clarida, Gali &amp; Gertler, 2000)</t>
        </is>
      </c>
      <c r="K51" s="53" t="inlineStr">
        <is>
          <t>Ingested</t>
        </is>
      </c>
      <c r="L51" s="52" t="inlineStr">
        <is>
          <t>2026-10-20</t>
        </is>
      </c>
      <c r="M51" s="51" t="inlineStr">
        <is>
          <t>reclean (cleaner change)</t>
        </is>
      </c>
      <c r="N51" s="51" t="n"/>
      <c r="O51" s="52" t="inlineStr">
        <is>
          <t>Yes</t>
        </is>
      </c>
      <c r="P51" s="51" t="n"/>
    </row>
    <row r="52" ht="154.05" customHeight="1">
      <c r="A52" s="3" t="inlineStr">
        <is>
          <t>Monetary Policy Rules Based on Real-Time Data (AER)</t>
        </is>
      </c>
      <c r="B52" s="3" t="inlineStr">
        <is>
          <t>Orphanides, A.</t>
        </is>
      </c>
      <c r="C52" s="4" t="n">
        <v>2001</v>
      </c>
      <c r="D52" s="4" t="n">
        <v>5</v>
      </c>
      <c r="E52" s="6" t="inlineStr">
        <is>
          <t>Yes</t>
        </is>
      </c>
      <c r="F52" s="3" t="inlineStr">
        <is>
          <t>Paper</t>
        </is>
      </c>
      <c r="G52" s="3" t="inlineStr">
        <is>
          <t>#reaction_function_and_gradualism</t>
        </is>
      </c>
      <c r="H52" s="3" t="inlineStr">
        <is>
          <t>A rule evaluated with revised data is not the rule the central bank followed; real-time output-gap error. The BCB-vs-market gap divergence in the QPC</t>
        </is>
      </c>
      <c r="I52" s="3" t="n"/>
      <c r="J52" s="51" t="inlineStr">
        <is>
          <t>policy_rules_real_time_data (Orphanides, 2001)</t>
        </is>
      </c>
      <c r="K52" s="53" t="inlineStr">
        <is>
          <t>Ingested</t>
        </is>
      </c>
      <c r="L52" s="52" t="inlineStr">
        <is>
          <t>2026-10-20</t>
        </is>
      </c>
      <c r="M52" s="51" t="inlineStr">
        <is>
          <t>reclean (cleaner change)</t>
        </is>
      </c>
      <c r="N52" s="51" t="n"/>
      <c r="O52" s="52" t="inlineStr">
        <is>
          <t>Yes</t>
        </is>
      </c>
      <c r="P52" s="51" t="n"/>
    </row>
    <row r="53" ht="109.05" customHeight="1">
      <c r="A53" s="3" t="inlineStr">
        <is>
          <t>Optimal Monetary Policy Inertia (NBER WP 7261)</t>
        </is>
      </c>
      <c r="B53" s="3" t="inlineStr">
        <is>
          <t>Woodford, M.</t>
        </is>
      </c>
      <c r="C53" s="4" t="n">
        <v>1999</v>
      </c>
      <c r="D53" s="4" t="n">
        <v>4</v>
      </c>
      <c r="E53" s="18" t="inlineStr">
        <is>
          <t>Yes</t>
        </is>
      </c>
      <c r="F53" s="3" t="inlineStr">
        <is>
          <t>Paper</t>
        </is>
      </c>
      <c r="G53" s="3" t="inlineStr">
        <is>
          <t>#reaction_function_and_gradualism</t>
        </is>
      </c>
      <c r="H53" s="3" t="inlineStr">
        <is>
          <t>Why moving in small, predictable steps is optimal under commitment — the Copom's step sizes</t>
        </is>
      </c>
      <c r="I53" s="3" t="inlineStr">
        <is>
          <t>Working-paper version of "Optimal Interest-Rate Smoothing" (REStud 2003, paywalled), which is the published article.</t>
        </is>
      </c>
      <c r="J53" s="51" t="inlineStr">
        <is>
          <t>optimal_monetary_policy_inertia (Woodford, 1999)</t>
        </is>
      </c>
      <c r="K53" s="53" t="inlineStr">
        <is>
          <t>Ingested</t>
        </is>
      </c>
      <c r="L53" s="52" t="inlineStr">
        <is>
          <t>2026-10-20</t>
        </is>
      </c>
      <c r="M53" s="51" t="inlineStr">
        <is>
          <t>reclean (cleaner change)</t>
        </is>
      </c>
      <c r="N53" s="51" t="n"/>
      <c r="O53" s="52" t="inlineStr">
        <is>
          <t>Yes</t>
        </is>
      </c>
      <c r="P53" s="51" t="n"/>
    </row>
    <row r="54" ht="79.05" customHeight="1">
      <c r="A54" s="3" t="inlineStr">
        <is>
          <t>Monetary Policy Shocks: What Have We Learned and to What End? (Handbook of Macroeconomics 1A)</t>
        </is>
      </c>
      <c r="B54" s="3" t="inlineStr">
        <is>
          <t>Christiano, L., Eichenbaum, M. &amp; Evans, C.</t>
        </is>
      </c>
      <c r="C54" s="4" t="n">
        <v>1999</v>
      </c>
      <c r="D54" s="4" t="n">
        <v>5</v>
      </c>
      <c r="E54" s="18" t="inlineStr">
        <is>
          <t>Yes</t>
        </is>
      </c>
      <c r="F54" s="3" t="inlineStr">
        <is>
          <t>Handbook chapter</t>
        </is>
      </c>
      <c r="G54" s="3" t="inlineStr">
        <is>
          <t>#policy_surprises_and_information_effect</t>
        </is>
      </c>
      <c r="H54" s="3" t="inlineStr">
        <is>
          <t>VAR identification of policy shocks; the benchmark impulse responses</t>
        </is>
      </c>
      <c r="I54" s="3" t="inlineStr">
        <is>
          <t>Acquisition priority: low
Suggested file: monetary_policy_shocks_survey (Christiano, Eichenbaum &amp; Evans, 1999).pdf
Where to get it: NBER WP 6400</t>
        </is>
      </c>
      <c r="J54" s="51" t="inlineStr">
        <is>
          <t>monetary_policy_shocks_survey (Christiano, Eichenbaum &amp; Evans, 1999)</t>
        </is>
      </c>
      <c r="K54" s="53" t="inlineStr">
        <is>
          <t>Ingested</t>
        </is>
      </c>
      <c r="L54" s="52" t="inlineStr">
        <is>
          <t>2026-10-20</t>
        </is>
      </c>
      <c r="M54" s="51" t="inlineStr">
        <is>
          <t>reclean (cleaner change)</t>
        </is>
      </c>
      <c r="N54" s="51" t="n"/>
      <c r="O54" s="52" t="inlineStr">
        <is>
          <t>Yes</t>
        </is>
      </c>
      <c r="P54" s="51" t="n"/>
    </row>
    <row r="55" ht="94.05" customHeight="1">
      <c r="A55" s="3" t="inlineStr">
        <is>
          <t>A New Measure of Monetary Shocks: Derivation and Implications (AER)</t>
        </is>
      </c>
      <c r="B55" s="3" t="inlineStr">
        <is>
          <t>Romer, C. &amp; Romer, D.</t>
        </is>
      </c>
      <c r="C55" s="4" t="n">
        <v>2004</v>
      </c>
      <c r="D55" s="4" t="n">
        <v>5</v>
      </c>
      <c r="E55" s="18" t="inlineStr">
        <is>
          <t>Yes</t>
        </is>
      </c>
      <c r="F55" s="3" t="inlineStr">
        <is>
          <t>Paper</t>
        </is>
      </c>
      <c r="G55" s="3" t="inlineStr">
        <is>
          <t>#policy_surprises_and_information_effect</t>
        </is>
      </c>
      <c r="H55" s="3" t="inlineStr">
        <is>
          <t>Separating the policy decision from the central bank's forecast</t>
        </is>
      </c>
      <c r="I55" s="3" t="inlineStr">
        <is>
          <t>Acquisition priority: low
Suggested file: new_measure_monetary_shocks (Romer &amp; Romer, 2004).pdf
Where to get it: NBER WP 9866 / the authors' Berkeley pages</t>
        </is>
      </c>
      <c r="J55" s="51" t="inlineStr">
        <is>
          <t>new_measure_monetary_shocks (Romer &amp; Romer, 2004)</t>
        </is>
      </c>
      <c r="K55" s="53" t="inlineStr">
        <is>
          <t>Ingested</t>
        </is>
      </c>
      <c r="L55" s="52" t="inlineStr">
        <is>
          <t>2026-10-20</t>
        </is>
      </c>
      <c r="M55" s="51" t="inlineStr">
        <is>
          <t>reclean (cleaner change)</t>
        </is>
      </c>
      <c r="N55" s="51" t="n"/>
      <c r="O55" s="52" t="inlineStr">
        <is>
          <t>Yes</t>
        </is>
      </c>
      <c r="P55" s="51" t="n"/>
    </row>
    <row r="56" ht="124.05" customHeight="1">
      <c r="A56" s="3" t="inlineStr">
        <is>
          <t>Do Actions Speak Louder Than Words? (IJCB)</t>
        </is>
      </c>
      <c r="B56" s="3" t="inlineStr">
        <is>
          <t>Gürkaynak, R., Sack, B. &amp; Swanson, E.</t>
        </is>
      </c>
      <c r="C56" s="4" t="n">
        <v>2005</v>
      </c>
      <c r="D56" s="4" t="n">
        <v>5</v>
      </c>
      <c r="E56" s="18" t="inlineStr">
        <is>
          <t>Yes</t>
        </is>
      </c>
      <c r="F56" s="3" t="inlineStr">
        <is>
          <t>Paper</t>
        </is>
      </c>
      <c r="G56" s="3" t="inlineStr">
        <is>
          <t>#policy_surprises_and_information_effect</t>
        </is>
      </c>
      <c r="H56" s="3" t="inlineStr">
        <is>
          <t>Two factors in a decision's surprise: the rate and the path signalled. Template for reading the DI curve on a Copom day</t>
        </is>
      </c>
      <c r="I56" s="3" t="inlineStr">
        <is>
          <t>Acquisition priority: medium
Suggested file: policy_actions_vs_words (Gurkaynak, Sack &amp; Swanson, 2005).pdf
Where to get it: IJCB is open access; also Fed FEDS 2004-66</t>
        </is>
      </c>
      <c r="J56" s="51" t="inlineStr">
        <is>
          <t>policy_actions_vs_words (Gurkaynak, Sack &amp; Swanson, 2005)</t>
        </is>
      </c>
      <c r="K56" s="53" t="inlineStr">
        <is>
          <t>Ingested</t>
        </is>
      </c>
      <c r="L56" s="52" t="inlineStr">
        <is>
          <t>2026-10-20</t>
        </is>
      </c>
      <c r="M56" s="51" t="inlineStr">
        <is>
          <t>reclean (cleaner change)</t>
        </is>
      </c>
      <c r="N56" s="51" t="n"/>
      <c r="O56" s="52" t="inlineStr">
        <is>
          <t>Yes</t>
        </is>
      </c>
      <c r="P56" s="51" t="n"/>
    </row>
    <row r="57" ht="94.05" customHeight="1">
      <c r="A57" s="3" t="inlineStr">
        <is>
          <t>High-Frequency Identification of Monetary Non-Neutrality: The Information Effect (QJE)</t>
        </is>
      </c>
      <c r="B57" s="3" t="inlineStr">
        <is>
          <t>Nakamura, E. &amp; Steinsson, J.</t>
        </is>
      </c>
      <c r="C57" s="4" t="n">
        <v>2018</v>
      </c>
      <c r="D57" s="4" t="n">
        <v>5</v>
      </c>
      <c r="E57" s="6" t="inlineStr">
        <is>
          <t>Yes</t>
        </is>
      </c>
      <c r="F57" s="3" t="inlineStr">
        <is>
          <t>Paper</t>
        </is>
      </c>
      <c r="G57" s="3" t="inlineStr">
        <is>
          <t>#policy_surprises_and_information_effect</t>
        </is>
      </c>
      <c r="H57" s="3" t="inlineStr">
        <is>
          <t>A hike can carry news about the central bank's view of the economy — the theory behind S2</t>
        </is>
      </c>
      <c r="I57" s="3" t="n"/>
      <c r="J57" s="51" t="inlineStr">
        <is>
          <t>information_effect_hf_identification (Nakamura &amp; Steinsson, 2018)</t>
        </is>
      </c>
      <c r="K57" s="53" t="inlineStr">
        <is>
          <t>Ingested</t>
        </is>
      </c>
      <c r="L57" s="52" t="inlineStr">
        <is>
          <t>2026-10-20</t>
        </is>
      </c>
      <c r="M57" s="51" t="inlineStr">
        <is>
          <t>reclean (cleaner change)</t>
        </is>
      </c>
      <c r="N57" s="51" t="n"/>
      <c r="O57" s="52" t="inlineStr">
        <is>
          <t>Yes</t>
        </is>
      </c>
      <c r="P57" s="51" t="n"/>
    </row>
    <row r="58" ht="139.05" customHeight="1">
      <c r="A58" s="3" t="inlineStr">
        <is>
          <t>Deconstructing Monetary Policy Surprises — The Role of Information Shocks (AEJ: Macro)</t>
        </is>
      </c>
      <c r="B58" s="3" t="inlineStr">
        <is>
          <t>Jarociński, M. &amp; Karadi, P.</t>
        </is>
      </c>
      <c r="C58" s="4" t="n">
        <v>2020</v>
      </c>
      <c r="D58" s="4" t="n">
        <v>4</v>
      </c>
      <c r="E58" s="6" t="inlineStr">
        <is>
          <t>Yes</t>
        </is>
      </c>
      <c r="F58" s="3" t="inlineStr">
        <is>
          <t>Paper</t>
        </is>
      </c>
      <c r="G58" s="3" t="inlineStr">
        <is>
          <t>#policy_surprises_and_information_effect</t>
        </is>
      </c>
      <c r="H58" s="3" t="inlineStr">
        <is>
          <t>Separates pure policy shocks from information shocks by the sign of the stock-market reaction — a method the agent can apply to S2</t>
        </is>
      </c>
      <c r="I58" s="3" t="n"/>
      <c r="J58" s="51" t="inlineStr">
        <is>
          <t>information_shocks_policy_surprises (Jarocinski &amp; Karadi, 2020)</t>
        </is>
      </c>
      <c r="K58" s="53" t="inlineStr">
        <is>
          <t>Ingested</t>
        </is>
      </c>
      <c r="L58" s="52" t="inlineStr">
        <is>
          <t>2026-10-20</t>
        </is>
      </c>
      <c r="M58" s="51" t="inlineStr">
        <is>
          <t>reclean (cleaner change)</t>
        </is>
      </c>
      <c r="N58" s="51" t="n"/>
      <c r="O58" s="52" t="inlineStr">
        <is>
          <t>Yes</t>
        </is>
      </c>
      <c r="P58" s="51" t="n"/>
    </row>
    <row r="59" ht="79.05" customHeight="1">
      <c r="A59" s="3" t="inlineStr">
        <is>
          <t>Central Bank Communication and Monetary Policy: A Survey of Theory and Evidence (JEL)</t>
        </is>
      </c>
      <c r="B59" s="3" t="inlineStr">
        <is>
          <t>Blinder, A., Ehrmann, M., Fratzscher, M., de Haan, J. &amp; Jansen, D.-J.</t>
        </is>
      </c>
      <c r="C59" s="4" t="n">
        <v>2008</v>
      </c>
      <c r="D59" s="4" t="n">
        <v>5</v>
      </c>
      <c r="E59" s="6" t="inlineStr">
        <is>
          <t>Yes</t>
        </is>
      </c>
      <c r="F59" s="3" t="inlineStr">
        <is>
          <t>Paper</t>
        </is>
      </c>
      <c r="G59" s="3" t="inlineStr">
        <is>
          <t>#communication_and_forward_guidance</t>
        </is>
      </c>
      <c r="H59" s="3" t="inlineStr">
        <is>
          <t>Why and how communication moves expectations; what evidence there is</t>
        </is>
      </c>
      <c r="I59" s="3" t="n"/>
      <c r="J59" s="51" t="inlineStr">
        <is>
          <t>central_bank_communication_survey (Blinder et al., 2008)</t>
        </is>
      </c>
      <c r="K59" s="53" t="inlineStr">
        <is>
          <t>Ingested</t>
        </is>
      </c>
      <c r="L59" s="52" t="inlineStr">
        <is>
          <t>2026-10-20</t>
        </is>
      </c>
      <c r="M59" s="51" t="inlineStr">
        <is>
          <t>reclean (cleaner change)</t>
        </is>
      </c>
      <c r="N59" s="51" t="n"/>
      <c r="O59" s="52" t="inlineStr">
        <is>
          <t>Yes</t>
        </is>
      </c>
      <c r="P59" s="51" t="n"/>
    </row>
    <row r="60" ht="124.05" customHeight="1">
      <c r="A60" s="3" t="inlineStr">
        <is>
          <t>Macroeconomic Effects of Federal Reserve Forward Guidance (BPEA)</t>
        </is>
      </c>
      <c r="B60" s="3" t="inlineStr">
        <is>
          <t>Campbell, J., Evans, C., Fisher, J. &amp; Justiniano, A.</t>
        </is>
      </c>
      <c r="C60" s="4" t="n">
        <v>2012</v>
      </c>
      <c r="D60" s="4" t="n">
        <v>5</v>
      </c>
      <c r="E60" s="6" t="inlineStr">
        <is>
          <t>Yes</t>
        </is>
      </c>
      <c r="F60" s="3" t="inlineStr">
        <is>
          <t>Paper</t>
        </is>
      </c>
      <c r="G60" s="3" t="inlineStr">
        <is>
          <t>#communication_and_forward_guidance</t>
        </is>
      </c>
      <c r="H60" s="3" t="inlineStr">
        <is>
          <t>Delphic (forecast) vs. Odyssean (commitment) guidance — the distinction for reading the Copom's guidance language</t>
        </is>
      </c>
      <c r="I60" s="3" t="n"/>
      <c r="J60" s="51" t="inlineStr">
        <is>
          <t>forward_guidance_effects (Campbell et al., 2012)</t>
        </is>
      </c>
      <c r="K60" s="53" t="inlineStr">
        <is>
          <t>Ingested</t>
        </is>
      </c>
      <c r="L60" s="52" t="inlineStr">
        <is>
          <t>2026-10-20</t>
        </is>
      </c>
      <c r="M60" s="51" t="inlineStr">
        <is>
          <t>reclean (cleaner change)</t>
        </is>
      </c>
      <c r="N60" s="51" t="n"/>
      <c r="O60" s="52" t="inlineStr">
        <is>
          <t>Yes</t>
        </is>
      </c>
      <c r="P60" s="51" t="n"/>
    </row>
    <row r="61" ht="79.05" customHeight="1">
      <c r="A61" s="3" t="inlineStr">
        <is>
          <t>Measuring the Natural Rate of Interest (REStat)</t>
        </is>
      </c>
      <c r="B61" s="3" t="inlineStr">
        <is>
          <t>Laubach, T. &amp; Williams, J.</t>
        </is>
      </c>
      <c r="C61" s="4" t="n">
        <v>2003</v>
      </c>
      <c r="D61" s="4" t="n">
        <v>5</v>
      </c>
      <c r="E61" s="6" t="inlineStr">
        <is>
          <t>Yes</t>
        </is>
      </c>
      <c r="F61" s="3" t="inlineStr">
        <is>
          <t>Paper</t>
        </is>
      </c>
      <c r="G61" s="3" t="inlineStr">
        <is>
          <t>#neutral_rate</t>
        </is>
      </c>
      <c r="H61" s="3" t="inlineStr">
        <is>
          <t>The canonical r* estimation method (Kalman filter on IS and Phillips curve)</t>
        </is>
      </c>
      <c r="I61" s="3" t="n"/>
      <c r="J61" s="51" t="inlineStr">
        <is>
          <t>natural_rate_measurement (Laubach &amp; Williams, 2003)</t>
        </is>
      </c>
      <c r="K61" s="53" t="inlineStr">
        <is>
          <t>Ingested</t>
        </is>
      </c>
      <c r="L61" s="52" t="inlineStr">
        <is>
          <t>2026-10-20</t>
        </is>
      </c>
      <c r="M61" s="51" t="inlineStr">
        <is>
          <t>reclean (cleaner change)</t>
        </is>
      </c>
      <c r="N61" s="51" t="n"/>
      <c r="O61" s="52" t="inlineStr">
        <is>
          <t>Yes</t>
        </is>
      </c>
      <c r="P61" s="51" t="n"/>
    </row>
    <row r="62" ht="64.05" customHeight="1">
      <c r="A62" s="3" t="inlineStr">
        <is>
          <t>Measuring the Natural Rate of Interest: International Trends and Determinants (JIE)</t>
        </is>
      </c>
      <c r="B62" s="3" t="inlineStr">
        <is>
          <t>Holston, K., Laubach, T. &amp; Williams, J.</t>
        </is>
      </c>
      <c r="C62" s="4" t="n">
        <v>2017</v>
      </c>
      <c r="D62" s="4" t="n">
        <v>4</v>
      </c>
      <c r="E62" s="6" t="inlineStr">
        <is>
          <t>Yes</t>
        </is>
      </c>
      <c r="F62" s="3" t="inlineStr">
        <is>
          <t>Paper</t>
        </is>
      </c>
      <c r="G62" s="3" t="inlineStr">
        <is>
          <t>#neutral_rate</t>
        </is>
      </c>
      <c r="H62" s="3" t="inlineStr">
        <is>
          <t>The same method across countries; the global r* decline</t>
        </is>
      </c>
      <c r="I62" s="3" t="n"/>
      <c r="J62" s="51" t="inlineStr">
        <is>
          <t>natural_rate_international (Holston, Laubach &amp; Williams, 2017)</t>
        </is>
      </c>
      <c r="K62" s="53" t="inlineStr">
        <is>
          <t>Ingested</t>
        </is>
      </c>
      <c r="L62" s="52" t="inlineStr">
        <is>
          <t>2026-10-20</t>
        </is>
      </c>
      <c r="M62" s="51" t="inlineStr">
        <is>
          <t>reclean (cleaner change)</t>
        </is>
      </c>
      <c r="N62" s="51" t="n"/>
      <c r="O62" s="52" t="inlineStr">
        <is>
          <t>Yes</t>
        </is>
      </c>
      <c r="P62" s="51" t="n"/>
    </row>
    <row r="63" ht="154.05" customHeight="1">
      <c r="A63" s="3" t="inlineStr">
        <is>
          <t>The Puzzle of Brazil's High Interest Rates (IMF WP 12/62)</t>
        </is>
      </c>
      <c r="B63" s="3" t="inlineStr">
        <is>
          <t>Segura-Ubiergo, A.</t>
        </is>
      </c>
      <c r="C63" s="4" t="n">
        <v>2012</v>
      </c>
      <c r="D63" s="4" t="n">
        <v>3</v>
      </c>
      <c r="E63" s="12" t="inlineStr">
        <is>
          <t>Yes</t>
        </is>
      </c>
      <c r="F63" s="3" t="inlineStr">
        <is>
          <t>Paper</t>
        </is>
      </c>
      <c r="G63" s="3" t="inlineStr">
        <is>
          <t>#neutral_rate</t>
        </is>
      </c>
      <c r="H63" s="3" t="inlineStr">
        <is>
          <t>Why Brazil's neutral rate is so high: savings, fiscal position, credit segmentation, indexation</t>
        </is>
      </c>
      <c r="I63" s="3" t="inlineStr">
        <is>
          <t>Acquisition priority: high
Suggested file: high_interest_rates_puzzle_brazil (Segura-Ubiergo, 2012).pdf
Where to get it: imf.org/external/pubs/ft/wp/2012/wp1262.pdf — manual download
imf.org refuses scripted downloads: save the PDF from a browser into raw_pdf/</t>
        </is>
      </c>
      <c r="J63" s="51" t="inlineStr">
        <is>
          <t>high_interest_rates_puzzle_brazil (Segura-Ubiergo, 2012)</t>
        </is>
      </c>
      <c r="K63" s="53" t="inlineStr">
        <is>
          <t>Ingested</t>
        </is>
      </c>
      <c r="L63" s="52" t="inlineStr">
        <is>
          <t>2026-10-20</t>
        </is>
      </c>
      <c r="M63" s="51" t="inlineStr">
        <is>
          <t>reclean (cleaner change)</t>
        </is>
      </c>
      <c r="N63" s="51" t="n"/>
      <c r="O63" s="52" t="inlineStr">
        <is>
          <t>Yes</t>
        </is>
      </c>
      <c r="P63" s="51" t="n"/>
    </row>
    <row r="64" ht="154.05" customHeight="1">
      <c r="A64" s="3" t="inlineStr">
        <is>
          <t>Time-Varying Neutral Interest Rate — The Case of Brazil (IMF WP 14/84)</t>
        </is>
      </c>
      <c r="B64" s="3" t="inlineStr">
        <is>
          <t>Perrelli, R. &amp; Roache, S.</t>
        </is>
      </c>
      <c r="C64" s="4" t="n">
        <v>2014</v>
      </c>
      <c r="D64" s="4" t="n">
        <v>3</v>
      </c>
      <c r="E64" s="12" t="inlineStr">
        <is>
          <t>Yes</t>
        </is>
      </c>
      <c r="F64" s="3" t="inlineStr">
        <is>
          <t>Paper</t>
        </is>
      </c>
      <c r="G64" s="3" t="inlineStr">
        <is>
          <t>#neutral_rate</t>
        </is>
      </c>
      <c r="H64" s="3" t="inlineStr">
        <is>
          <t>A time-varying neutral for Brazil from several models, and what getting it wrong does to the policy prescription</t>
        </is>
      </c>
      <c r="I64" s="3" t="inlineStr">
        <is>
          <t>Acquisition priority: high
Suggested file: neutral_rate_time_varying_brazil (Perrelli &amp; Roache, 2014).pdf
Where to get it: imf.org/external/pubs/ft/wp/2014/wp1484.pdf — manual download
imf.org refuses scripted downloads: save the PDF from a browser into raw_pdf/</t>
        </is>
      </c>
      <c r="J64" s="51" t="inlineStr">
        <is>
          <t>neutral_rate_time_varying_brazil (Perrelli &amp; Roache, 2014)</t>
        </is>
      </c>
      <c r="K64" s="53" t="inlineStr">
        <is>
          <t>Ingested</t>
        </is>
      </c>
      <c r="L64" s="52" t="inlineStr">
        <is>
          <t>2026-10-20</t>
        </is>
      </c>
      <c r="M64" s="51" t="inlineStr">
        <is>
          <t>reclean (cleaner change)</t>
        </is>
      </c>
      <c r="N64" s="51" t="n"/>
      <c r="O64" s="52" t="inlineStr">
        <is>
          <t>Yes</t>
        </is>
      </c>
      <c r="P64" s="51" t="n"/>
    </row>
    <row r="65" ht="109.05" customHeight="1">
      <c r="A65" s="3" t="inlineStr">
        <is>
          <t>Pricing the Term Structure with Linear Regressions (JFE)</t>
        </is>
      </c>
      <c r="B65" s="3" t="inlineStr">
        <is>
          <t>Adrian, T., Crump, R. &amp; Moench, E.</t>
        </is>
      </c>
      <c r="C65" s="4" t="n">
        <v>2013</v>
      </c>
      <c r="D65" s="4" t="n">
        <v>4</v>
      </c>
      <c r="E65" s="18" t="inlineStr">
        <is>
          <t>Yes</t>
        </is>
      </c>
      <c r="F65" s="3" t="inlineStr">
        <is>
          <t>Paper</t>
        </is>
      </c>
      <c r="G65" s="3" t="inlineStr">
        <is>
          <t>#term_structure_and_market_pricing</t>
        </is>
      </c>
      <c r="H65" s="3" t="inlineStr">
        <is>
          <t>Term-premium decomposition; without it, the Selic path implied by the DI curve carries the premium (S1)</t>
        </is>
      </c>
      <c r="I65" s="3" t="inlineStr">
        <is>
          <t>Acquisition priority: medium
Suggested file: term_structure_linear_regressions (Adrian, Crump &amp; Moench, 2013).pdf
Where to get it: NY Fed Staff Report 340</t>
        </is>
      </c>
      <c r="J65" s="51" t="inlineStr">
        <is>
          <t>term_structure_linear_regressions (Adrian, Crump &amp; Moench, 2013)</t>
        </is>
      </c>
      <c r="K65" s="53" t="inlineStr">
        <is>
          <t>Ingested</t>
        </is>
      </c>
      <c r="L65" s="52" t="inlineStr">
        <is>
          <t>2026-10-20</t>
        </is>
      </c>
      <c r="M65" s="51" t="inlineStr">
        <is>
          <t>reclean (cleaner change)</t>
        </is>
      </c>
      <c r="N65" s="51" t="n"/>
      <c r="O65" s="52" t="inlineStr">
        <is>
          <t>Yes</t>
        </is>
      </c>
      <c r="P65" s="51" t="n"/>
    </row>
    <row r="66" ht="64.05" customHeight="1">
      <c r="A66" s="3" t="inlineStr">
        <is>
          <t>Decreto nº 3.088/1999</t>
        </is>
      </c>
      <c r="B66" s="3" t="inlineStr">
        <is>
          <t>Brazil (federal law)</t>
        </is>
      </c>
      <c r="C66" s="4" t="n">
        <v>1999</v>
      </c>
      <c r="D66" s="4" t="n"/>
      <c r="E66" s="18" t="inlineStr">
        <is>
          <t>Yes</t>
        </is>
      </c>
      <c r="F66" s="3" t="inlineStr">
        <is>
          <t>Primary legal source</t>
        </is>
      </c>
      <c r="G66" s="3" t="inlineStr">
        <is>
          <t>#institutional_framework</t>
        </is>
      </c>
      <c r="H66" s="3" t="inlineStr">
        <is>
          <t>Adoption of the inflation-targeting regime</t>
        </is>
      </c>
      <c r="I66" s="3" t="inlineStr">
        <is>
          <t>Acquisition priority: medium
Suggested file: decreto_3088_1999_metas_inflacao.pdf
Where to get it: planalto.gov.br</t>
        </is>
      </c>
      <c r="J66" s="51" t="inlineStr">
        <is>
          <t>decreto_3088_metas_inflacao (Brazil, 1999)</t>
        </is>
      </c>
      <c r="K66" s="53" t="inlineStr">
        <is>
          <t>Ingested</t>
        </is>
      </c>
      <c r="L66" s="52" t="inlineStr">
        <is>
          <t>2026-10-20</t>
        </is>
      </c>
      <c r="M66" s="51" t="inlineStr">
        <is>
          <t>default</t>
        </is>
      </c>
      <c r="N66" s="51" t="inlineStr">
        <is>
          <t>garbled (common-word share 0.035)</t>
        </is>
      </c>
      <c r="O66" s="52" t="n"/>
      <c r="P66" s="51" t="n"/>
    </row>
    <row r="67" ht="109.05" customHeight="1">
      <c r="A67" s="3" t="inlineStr">
        <is>
          <t>Lei Complementar nº 179/2021</t>
        </is>
      </c>
      <c r="B67" s="3" t="inlineStr">
        <is>
          <t>Brazil (federal law)</t>
        </is>
      </c>
      <c r="C67" s="4" t="n">
        <v>2021</v>
      </c>
      <c r="D67" s="4" t="n"/>
      <c r="E67" s="18" t="inlineStr">
        <is>
          <t>Yes</t>
        </is>
      </c>
      <c r="F67" s="3" t="inlineStr">
        <is>
          <t>Primary legal source</t>
        </is>
      </c>
      <c r="G67" s="3" t="inlineStr">
        <is>
          <t>#institutional_framework</t>
        </is>
      </c>
      <c r="H67" s="3" t="inlineStr">
        <is>
          <t>BCB autonomy, fixed mandates, and the secondary mandate (smooth activity, foster full employment)</t>
        </is>
      </c>
      <c r="I67" s="3" t="inlineStr">
        <is>
          <t>Acquisition priority: medium
Suggested file: lc_179_2021_autonomia_bcb.pdf
Where to get it: planalto.gov.br</t>
        </is>
      </c>
      <c r="J67" s="51" t="inlineStr">
        <is>
          <t>lc_179_autonomia_bcb (Brazil, 2021)</t>
        </is>
      </c>
      <c r="K67" s="53" t="inlineStr">
        <is>
          <t>Ingested</t>
        </is>
      </c>
      <c r="L67" s="52" t="inlineStr">
        <is>
          <t>2026-10-20</t>
        </is>
      </c>
      <c r="M67" s="51" t="inlineStr">
        <is>
          <t>default</t>
        </is>
      </c>
      <c r="N67" s="51" t="inlineStr">
        <is>
          <t>garbled (common-word share 0.022)</t>
        </is>
      </c>
      <c r="O67" s="52" t="n"/>
      <c r="P67" s="51" t="n"/>
    </row>
    <row r="68" ht="94.05" customHeight="1">
      <c r="A68" s="3" t="inlineStr">
        <is>
          <t>Decreto nº 12.079/2024</t>
        </is>
      </c>
      <c r="B68" s="3" t="inlineStr">
        <is>
          <t>Brazil (federal law)</t>
        </is>
      </c>
      <c r="C68" s="4" t="n">
        <v>2024</v>
      </c>
      <c r="D68" s="4" t="n"/>
      <c r="E68" s="18" t="inlineStr">
        <is>
          <t>Yes</t>
        </is>
      </c>
      <c r="F68" s="3" t="inlineStr">
        <is>
          <t>Primary legal source</t>
        </is>
      </c>
      <c r="G68" s="3" t="inlineStr">
        <is>
          <t>#institutional_framework</t>
        </is>
      </c>
      <c r="H68" s="3" t="inlineStr">
        <is>
          <t>The continuous target (from 2025): breach means six consecutive months outside the band</t>
        </is>
      </c>
      <c r="I68" s="3" t="inlineStr">
        <is>
          <t>Acquisition priority: medium
Suggested file: decreto_12079_2024_meta_continua.pdf
Where to get it: planalto.gov.br</t>
        </is>
      </c>
      <c r="J68" s="51" t="inlineStr">
        <is>
          <t>decreto_12079_meta_continua (Brazil, 2024)</t>
        </is>
      </c>
      <c r="K68" s="53" t="inlineStr">
        <is>
          <t>Ingested</t>
        </is>
      </c>
      <c r="L68" s="52" t="inlineStr">
        <is>
          <t>2026-10-20</t>
        </is>
      </c>
      <c r="M68" s="51" t="inlineStr">
        <is>
          <t>default</t>
        </is>
      </c>
      <c r="N68" s="51" t="inlineStr">
        <is>
          <t>no_text_layer (33% of pages empty — scanned?); garbled (common-word share 0.044)</t>
        </is>
      </c>
      <c r="O68" s="52" t="n"/>
      <c r="P68" s="51" t="n"/>
    </row>
    <row r="69" ht="124.05" customHeight="1">
      <c r="A69" s="3" t="inlineStr">
        <is>
          <t>Comunicado (COPOM Statement)</t>
        </is>
      </c>
      <c r="B69" s="3" t="inlineStr">
        <is>
          <t>Banco Central do Brasil</t>
        </is>
      </c>
      <c r="C69" s="4" t="inlineStr">
        <is>
          <t>Recurring, ~8/year</t>
        </is>
      </c>
      <c r="D69" s="4" t="n"/>
      <c r="E69" s="6" t="inlineStr">
        <is>
          <t>Yes</t>
        </is>
      </c>
      <c r="F69" s="3" t="inlineStr">
        <is>
          <t>Primary source (recurring)</t>
        </is>
      </c>
      <c r="G69" s="3" t="inlineStr">
        <is>
          <t>#brazil_policy_communication</t>
        </is>
      </c>
      <c r="H69" s="3" t="inlineStr">
        <is>
          <t>Same day as each COPOM meeting. Very short (roughly one page): the Selic decision itself plus a brief summary of the immediate rationale and balance of risks.</t>
        </is>
      </c>
      <c r="I69" s="3" t="inlineStr">
        <is>
          <t>In the vault through the Copom ETL (pm_copom_projecoes.run()), not through /ingest: obsidian/monetary_policy/clean_md/central_bank/ — all comunicados and atas, the RPM in full for the last 3 years; the full RPM history is pending (SISTEMA_AGENTES II.III.iv).</t>
        </is>
      </c>
      <c r="J69" s="51" t="n"/>
      <c r="K69" s="52" t="n"/>
      <c r="L69" s="52" t="n"/>
      <c r="M69" s="51" t="n"/>
      <c r="N69" s="51" t="n"/>
      <c r="O69" s="52" t="n"/>
      <c r="P69" s="51" t="n"/>
    </row>
    <row r="70" ht="124.05" customHeight="1">
      <c r="A70" s="3" t="inlineStr">
        <is>
          <t>Ata do Copom (COPOM Minutes)</t>
        </is>
      </c>
      <c r="B70" s="3" t="inlineStr">
        <is>
          <t>Banco Central do Brasil</t>
        </is>
      </c>
      <c r="C70" s="4" t="inlineStr">
        <is>
          <t>Recurring, ~6 business days after each meeting</t>
        </is>
      </c>
      <c r="D70" s="4" t="n"/>
      <c r="E70" s="6" t="inlineStr">
        <is>
          <t>Yes</t>
        </is>
      </c>
      <c r="F70" s="3" t="inlineStr">
        <is>
          <t>Primary source (recurring)</t>
        </is>
      </c>
      <c r="G70" s="3" t="inlineStr">
        <is>
          <t>#brazil_policy_communication</t>
        </is>
      </c>
      <c r="H70" s="3" t="inlineStr">
        <is>
          <t>Full deliberation: detailed scenario discussion, balance-of-risks analysis, forward guidance language, vote record. Retention window and ingestion mechanism explicitly deferred to a later session.</t>
        </is>
      </c>
      <c r="I70" s="3" t="inlineStr">
        <is>
          <t>In the vault through the Copom ETL (pm_copom_projecoes.run()), not through /ingest: obsidian/monetary_policy/clean_md/central_bank/ — all comunicados and atas, the RPM in full for the last 3 years; the full RPM history is pending (SISTEMA_AGENTES II.III.iv).</t>
        </is>
      </c>
      <c r="J70" s="51" t="n"/>
      <c r="K70" s="52" t="n"/>
      <c r="L70" s="52" t="n"/>
      <c r="M70" s="51" t="n"/>
      <c r="N70" s="51" t="n"/>
      <c r="O70" s="52" t="n"/>
      <c r="P70" s="51" t="n"/>
    </row>
    <row r="71" ht="124.05" customHeight="1">
      <c r="A71" s="3" t="inlineStr">
        <is>
          <t>Relatorio de Politica Monetaria (RPM, formerly Relatorio de Inflacao)</t>
        </is>
      </c>
      <c r="B71" s="3" t="inlineStr">
        <is>
          <t>Banco Central do Brasil</t>
        </is>
      </c>
      <c r="C71" s="4" t="inlineStr">
        <is>
          <t>Recurring, quarterly</t>
        </is>
      </c>
      <c r="D71" s="4" t="n"/>
      <c r="E71" s="6" t="inlineStr">
        <is>
          <t>Yes</t>
        </is>
      </c>
      <c r="F71" s="3" t="inlineStr">
        <is>
          <t>Primary source (recurring)</t>
        </is>
      </c>
      <c r="G71" s="3" t="inlineStr">
        <is>
          <t>#brazil_policy_communication</t>
        </is>
      </c>
      <c r="H71" s="3" t="inlineStr">
        <is>
          <t>Full projection exercise: conditional and unconditional inflation projections, fan charts (leques), GDP projections, scenario assumptions (FX, oil, Selic path), special-topic boxes.</t>
        </is>
      </c>
      <c r="I71" s="3" t="inlineStr">
        <is>
          <t>In the vault through the Copom ETL (pm_copom_projecoes.run()), not through /ingest: obsidian/monetary_policy/clean_md/central_bank/ — all comunicados and atas, the RPM in full for the last 3 years; the full RPM history is pending (SISTEMA_AGENTES II.III.iv).</t>
        </is>
      </c>
      <c r="J71" s="51" t="n"/>
      <c r="K71" s="52" t="n"/>
      <c r="L71" s="52" t="n"/>
      <c r="M71" s="51" t="n"/>
      <c r="N71" s="51" t="n"/>
      <c r="O71" s="52" t="n"/>
      <c r="P71" s="51" t="n"/>
    </row>
    <row r="72" ht="199.05" customHeight="1">
      <c r="A72" s="15" t="inlineStr">
        <is>
          <t>Brazilian Macroeconomic Dynamics Redux: Shocks, Frictions, and Unemployment in SAMBA Model (BCB WP 578)</t>
        </is>
      </c>
      <c r="B72" s="15" t="inlineStr">
        <is>
          <t>Fasolo, A., Araújo, E., Jorge, M., Kornelius, A. &amp; Marinho, L.</t>
        </is>
      </c>
      <c r="C72" s="16" t="n">
        <v>2023</v>
      </c>
      <c r="D72" s="16" t="n">
        <v>4</v>
      </c>
      <c r="E72" s="17" t="inlineStr">
        <is>
          <t>Yes</t>
        </is>
      </c>
      <c r="F72" s="15" t="inlineStr">
        <is>
          <t>Paper</t>
        </is>
      </c>
      <c r="G72" s="15" t="inlineStr">
        <is>
          <t>#brazil_monetary_policy</t>
        </is>
      </c>
      <c r="H72" s="15" t="inlineStr">
        <is>
          <t>The current version of the BCB's own DSGE: SAMBA extended with labour-market frictions and unemployment and re-estimated; the up-to-date reference for how the BCB models transmission and decomposes shocks</t>
        </is>
      </c>
      <c r="I72" s="15" t="inlineStr">
        <is>
          <t>BCB WP 578 (March 2023). Update of SAMBA (de Castro et al., 2011), which has its own row</t>
        </is>
      </c>
      <c r="J72" s="51" t="inlineStr">
        <is>
          <t>samba_dsge_brazil_update (Fasolo et al., 2023)</t>
        </is>
      </c>
      <c r="K72" s="53" t="inlineStr">
        <is>
          <t>Ingested</t>
        </is>
      </c>
      <c r="L72" s="52" t="inlineStr">
        <is>
          <t>2026-10-20</t>
        </is>
      </c>
      <c r="M72" s="51" t="inlineStr">
        <is>
          <t>reclean (cleaner change)</t>
        </is>
      </c>
      <c r="N72" s="51" t="n"/>
      <c r="O72" s="52" t="n"/>
      <c r="P72" s="51" t="n"/>
    </row>
  </sheetData>
  <autoFilter ref="A1:P72"/>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418791"/>
    <outlinePr summaryBelow="1" summaryRight="1"/>
    <pageSetUpPr/>
  </sheetPr>
  <dimension ref="A1:G29"/>
  <sheetViews>
    <sheetView showGridLines="0" zoomScale="70" zoomScaleNormal="80" workbookViewId="0">
      <pane ySplit="1" topLeftCell="A2" activePane="bottomLeft" state="frozen"/>
      <selection pane="bottomLeft" activeCell="A29" sqref="A23:A29"/>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34.05" customHeight="1">
      <c r="A2" s="3" t="inlineStr">
        <is>
          <t>Selic, Fed Funds (raw)</t>
        </is>
      </c>
      <c r="B2" s="3" t="inlineStr">
        <is>
          <t>macro_international.diferenciais_juros · selic, fed_funds</t>
        </is>
      </c>
      <c r="C2" s="4" t="n"/>
      <c r="D2" s="4" t="n"/>
      <c r="E2" s="6" t="inlineStr">
        <is>
          <t>Yes</t>
        </is>
      </c>
      <c r="F2" s="3" t="inlineStr">
        <is>
          <t>2. Interest rate differentials (carry)</t>
        </is>
      </c>
      <c r="G2" s="3" t="n"/>
    </row>
    <row r="3" ht="49.05" customHeight="1">
      <c r="A3" s="3" t="inlineStr">
        <is>
          <t>Nominal and real ex-post differentials</t>
        </is>
      </c>
      <c r="B3" s="3" t="inlineStr">
        <is>
          <t>macro_international.diferenciais_juros · diferencial_nominal, real_br_ex_post, real_us_ex_post, diferencial_real</t>
        </is>
      </c>
      <c r="C3" s="4" t="n"/>
      <c r="D3" s="4" t="n"/>
      <c r="E3" s="6" t="inlineStr">
        <is>
          <t>Yes</t>
        </is>
      </c>
      <c r="F3" s="3" t="inlineStr">
        <is>
          <t>2. Interest rate differentials (carry)</t>
        </is>
      </c>
      <c r="G3" s="3" t="n"/>
    </row>
    <row r="4" ht="34.05" customHeight="1">
      <c r="A4" s="3" t="inlineStr">
        <is>
          <t>Focus survey — Selic median/mean expectations</t>
        </is>
      </c>
      <c r="B4" s="3" t="inlineStr">
        <is>
          <t>macro_brasil.expc_focus</t>
        </is>
      </c>
      <c r="C4" s="4" t="n"/>
      <c r="D4" s="4" t="n"/>
      <c r="E4" s="6" t="inlineStr">
        <is>
          <t>Yes</t>
        </is>
      </c>
      <c r="F4" s="3" t="inlineStr">
        <is>
          <t>3. Market-implied rate expectations</t>
        </is>
      </c>
      <c r="G4" s="3" t="inlineStr">
        <is>
          <t>indicador = 'Selic', various horizons; 2001 → today</t>
        </is>
      </c>
    </row>
    <row r="5" ht="34.05" customHeight="1">
      <c r="A5" s="3" t="inlineStr">
        <is>
          <t>Focus survey — IPCA, IGP-M expectations</t>
        </is>
      </c>
      <c r="B5" s="3" t="inlineStr">
        <is>
          <t>macro_brasil.expc_focus</t>
        </is>
      </c>
      <c r="C5" s="4" t="n"/>
      <c r="D5" s="4" t="n"/>
      <c r="E5" s="6" t="inlineStr">
        <is>
          <t>Yes</t>
        </is>
      </c>
      <c r="F5" s="3" t="inlineStr">
        <is>
          <t>3. Market-implied rate expectations</t>
        </is>
      </c>
      <c r="G5" s="3" t="inlineStr">
        <is>
          <t>same table, other indicador values</t>
        </is>
      </c>
    </row>
    <row r="6" ht="34.05" customHeight="1">
      <c r="A6" s="3" t="inlineStr">
        <is>
          <t>Real rate ex-post (Selic − realized IPCA 12m)</t>
        </is>
      </c>
      <c r="B6" s="3" t="inlineStr">
        <is>
          <t>macro_international.diferenciais_juros</t>
        </is>
      </c>
      <c r="C6" s="4" t="n"/>
      <c r="D6" s="4" t="n"/>
      <c r="E6" s="6" t="inlineStr">
        <is>
          <t>Yes</t>
        </is>
      </c>
      <c r="F6" s="3" t="inlineStr">
        <is>
          <t>4. Real interest rate &amp; neutral rate (r*)</t>
        </is>
      </c>
      <c r="G6" s="3" t="inlineStr">
        <is>
          <t>real_br_ex_post</t>
        </is>
      </c>
    </row>
    <row r="7" ht="34.05" customHeight="1">
      <c r="A7" s="3" t="inlineStr">
        <is>
          <t>Fed Funds (raw, as part of the differential calc)</t>
        </is>
      </c>
      <c r="B7" s="3" t="inlineStr">
        <is>
          <t>macro_international.diferenciais_juros · fed_funds</t>
        </is>
      </c>
      <c r="C7" s="4" t="n"/>
      <c r="D7" s="4" t="n"/>
      <c r="E7" s="6" t="inlineStr">
        <is>
          <t>Yes</t>
        </is>
      </c>
      <c r="F7" s="3" t="inlineStr">
        <is>
          <t>7. Global monetary conditions</t>
        </is>
      </c>
      <c r="G7" s="3" t="n"/>
    </row>
    <row r="8" ht="244.05" customHeight="1">
      <c r="A8" s="3" t="inlineStr">
        <is>
          <t>No COPOM decision history table (meeting-level rate changes, votes)</t>
        </is>
      </c>
      <c r="B8" s="3" t="n"/>
      <c r="C8" s="4" t="n"/>
      <c r="D8" s="4" t="inlineStr">
        <is>
          <t>High</t>
        </is>
      </c>
      <c r="E8" s="5" t="inlineStr">
        <is>
          <t>No</t>
        </is>
      </c>
      <c r="F8" s="3" t="inlineStr">
        <is>
          <t>1. Policy rate &amp; COPOM decision history</t>
        </is>
      </c>
      <c r="G8" s="3" t="inlineStr">
        <is>
          <t>There is no dedicated table recording COPOM decisions as discrete events (meeting date, rate before/after, change in bps, vote count/dissent). The Selic level only exists today embedded inside macro_international.diferenciais_juros (series selic, sourced from BCB SGS 432) as a continuous monthly series for computing rate differentials — it was never built to answer "what did COPOM actually decide, and how divided was the committee, at each meeting." Impact: without this, the agent can't backtest a reaction function against actual historical decisions, or characterize dissent/unanimity patterns (directly relevant to reading credibility, per the Barro-Gordon/Rogoff literature already in the bibliography). Possible approach: a copom_decisions table — (meeting_date, selic_before, selic_after, change_bps, votes_for, votes_against, unanimous) — sourced from BCB SGS 432 (which already carries COPOM meeting dates, not calendar dates) plus vote counts parsed from the Ata once §8 of the bibliography is acquired. No script built yet.</t>
        </is>
      </c>
    </row>
    <row r="9" ht="124.05" customHeight="1">
      <c r="A9" s="3" t="inlineStr">
        <is>
          <t>No neutral/equilibrium real rate (r*) — no proxy, no model estimate</t>
        </is>
      </c>
      <c r="B9" s="3" t="n"/>
      <c r="C9" s="4" t="n"/>
      <c r="D9" s="4" t="inlineStr">
        <is>
          <t>High</t>
        </is>
      </c>
      <c r="E9" s="5" t="inlineStr">
        <is>
          <t>No</t>
        </is>
      </c>
      <c r="F9" s="3" t="inlineStr">
        <is>
          <t>4. Real interest rate &amp; neutral rate (r*)</t>
        </is>
      </c>
      <c r="G9" s="3" t="inlineStr">
        <is>
          <t>No neutral/equilibrium real rate (r*) estimate at all. This is precisely the gap the Muinhos &amp; Nakane (2006) bibliography candidate addresses theoretically, but there's no data pipeline — no market-based proxy (e.g. long NTN-B real yields) and no BCB model-based estimate (which the RPM publishes as part of its projection exercise, once §8 of the bibliography is acquired). Without r*, the agent has no denominator for "how tight is policy," which is arguably the single most load-bearing number for a synthesis agent to have.</t>
        </is>
      </c>
    </row>
    <row r="10" ht="94.05" customHeight="1">
      <c r="A10" s="3" t="inlineStr">
        <is>
          <t>Ex-ante real/nominal rate differentials not computed (inputs already exist in expc_focus, just not combined)</t>
        </is>
      </c>
      <c r="B10" s="3" t="n"/>
      <c r="C10" s="4" t="n"/>
      <c r="D10" s="4" t="inlineStr">
        <is>
          <t>Medium</t>
        </is>
      </c>
      <c r="E10" s="5" t="inlineStr">
        <is>
          <t>No</t>
        </is>
      </c>
      <c r="F10" s="3" t="inlineStr">
        <is>
          <t>2. Interest rate differentials (carry)</t>
        </is>
      </c>
      <c r="G10" s="3" t="inlineStr">
        <is>
          <t>Ex-ante differentials (Focus-based) not implemented — see the pending item in analytics/brasil/exchange_rate/CLAUDE.md. For monetary policy specifically, selic_ex_ante (Focus Selic EOP 12m, already sitting in macro_brasil.expc_focus) is close to the single most directly relevant missing series: it's the market's own forward-looking read on the same thing the agent is trying to compute.</t>
        </is>
      </c>
    </row>
    <row r="11" ht="139.05" customHeight="1">
      <c r="A11" s="3" t="inlineStr">
        <is>
          <t>No inflation target regime parameter table (target/band/horizon history)</t>
        </is>
      </c>
      <c r="B11" s="3" t="n"/>
      <c r="C11" s="4" t="n"/>
      <c r="D11" s="4" t="inlineStr">
        <is>
          <t>Medium</t>
        </is>
      </c>
      <c r="E11" s="5" t="inlineStr">
        <is>
          <t>No</t>
        </is>
      </c>
      <c r="F11" s="3" t="inlineStr">
        <is>
          <t>6. Inflation target regime parameters</t>
        </is>
      </c>
      <c r="G11" s="3" t="inlineStr">
        <is>
          <t>No table records the history of the target itself: the numeric target, tolerance band width, and target horizon, as set by CMN (Conselho Monetário Nacional) resolutions, which have changed several times since 1999 (target level, band width, and the horizon convention have all been revised over the years). This is small, slow-moving, easy to build (a short lookup table by year) but currently doesn't exist anywhere — without it, the agent can't correctly compute an inflation gap even once it has an inflation forecast, since "the target" isn't a fixed constant across the whole sample.</t>
        </is>
      </c>
    </row>
    <row r="12" ht="34.05" customHeight="1">
      <c r="A12" s="3" t="inlineStr">
        <is>
          <t>Full history of diferenciais_juros (same gap as FX inventory, ~36m today)</t>
        </is>
      </c>
      <c r="B12" s="3" t="n"/>
      <c r="C12" s="4" t="n"/>
      <c r="D12" s="4" t="inlineStr">
        <is>
          <t>Medium</t>
        </is>
      </c>
      <c r="E12" s="5" t="inlineStr">
        <is>
          <t>No</t>
        </is>
      </c>
      <c r="F12" s="3" t="inlineStr">
        <is>
          <t>2. Interest rate differentials (carry)</t>
        </is>
      </c>
      <c r="G12" s="3" t="inlineStr">
        <is>
          <t>History limited to ~36 months by default — needs full extension (Selic since 1996, Fed Funds since 1954).</t>
        </is>
      </c>
    </row>
    <row r="13" ht="94.05" customHeight="1">
      <c r="A13" s="3" t="inlineStr">
        <is>
          <t>No DI futures curve (Bloomberg-dependent)</t>
        </is>
      </c>
      <c r="B13" s="3" t="n"/>
      <c r="C13" s="4" t="n"/>
      <c r="D13" s="4" t="inlineStr">
        <is>
          <t>Low</t>
        </is>
      </c>
      <c r="E13" s="5" t="inlineStr">
        <is>
          <t>No</t>
        </is>
      </c>
      <c r="F13" s="3" t="inlineStr">
        <is>
          <t>3. Market-implied rate expectations</t>
        </is>
      </c>
      <c r="G13" s="3" t="inlineStr">
        <is>
          <t>No DI futures curve (B3) — the market-priced, real-time-updating implied Selic path, as opposed to the survey-based Focus median. This is the same Bloomberg-dependent gap already flagged as a pending item in analytics/brasil/exchange_rate/CLAUDE.md ("Cupom cambial + B3 FX futures", requires blpapi/xbbg). Focus is a usable substitute today but updates weekly and reflects survey consensus, not tradeable pricing.</t>
        </is>
      </c>
    </row>
    <row r="14" ht="94.05" customHeight="1">
      <c r="A14" s="3" t="inlineStr">
        <is>
          <t>Global policy-rate context limited to Fed Funds only</t>
        </is>
      </c>
      <c r="B14" s="3" t="n"/>
      <c r="C14" s="4" t="n"/>
      <c r="D14" s="4" t="inlineStr">
        <is>
          <t>Low</t>
        </is>
      </c>
      <c r="E14" s="5" t="inlineStr">
        <is>
          <t>No</t>
        </is>
      </c>
      <c r="F14" s="3" t="inlineStr">
        <is>
          <t>7. Global monetary conditions</t>
        </is>
      </c>
      <c r="G14" s="3" t="inlineStr">
        <is>
          <t>Gaps: only the Fed is covered. No broader global policy-rate context (ECB, other EM central banks) for situating BCB within the "global financial cycle" framing central to the Rey (2013) / Obstfeld (2015) debate in the bibliography's #global_spillovers_em_autonomy cluster. Low priority unless a specific cross-country comparison becomes necessary.</t>
        </is>
      </c>
    </row>
    <row r="15" ht="64.05" customHeight="1">
      <c r="A15" s="3" t="inlineStr">
        <is>
          <t xml:space="preserve">No ex-ante real rate (Selic − expected IPCA, which is the theoretically correct measure of how restrictive/expansionary </t>
        </is>
      </c>
      <c r="B15" s="3" t="n"/>
      <c r="C15" s="4" t="n"/>
      <c r="D15" s="4" t="n"/>
      <c r="E15" s="5" t="inlineStr">
        <is>
          <t>No</t>
        </is>
      </c>
      <c r="F15" s="3" t="inlineStr">
        <is>
          <t>4. Real interest rate &amp; neutral rate (r*)</t>
        </is>
      </c>
      <c r="G15" s="3" t="inlineStr">
        <is>
          <t>No ex-ante real rate (Selic − expected IPCA, which is the theoretically correct measure of how restrictive/expansionary policy actually is right now) — same missing piece as item 2 above (needs Focus IPCA expectations, already available, just not yet combined).</t>
        </is>
      </c>
    </row>
    <row r="16" ht="34.05" customHeight="1">
      <c r="A16" s="3" t="inlineStr">
        <is>
          <t>Inflation gap / nowcast at the policy-relevant horizon</t>
        </is>
      </c>
      <c r="B16" s="3" t="n"/>
      <c r="C16" s="4" t="n"/>
      <c r="D16" s="4" t="n"/>
      <c r="E16" s="8" t="inlineStr">
        <is>
          <t>Needs agent</t>
        </is>
      </c>
      <c r="F16" s="3" t="inlineStr">
        <is>
          <t>Tier 2 — From a future inflation agent</t>
        </is>
      </c>
      <c r="G16" s="3" t="inlineStr">
        <is>
          <t>Inflation gap / nowcast at the policy-relevant horizon (the actual forecast-targeting input Svensson's framework calls for)</t>
        </is>
      </c>
    </row>
    <row r="17" ht="34.05" customHeight="1">
      <c r="A17" s="3" t="inlineStr">
        <is>
          <t>Core inflation decomposition and diffusion index</t>
        </is>
      </c>
      <c r="B17" s="3" t="n"/>
      <c r="C17" s="4" t="n"/>
      <c r="D17" s="4" t="n"/>
      <c r="E17" s="8" t="inlineStr">
        <is>
          <t>Needs agent</t>
        </is>
      </c>
      <c r="F17" s="3" t="inlineStr">
        <is>
          <t>Tier 2 — From a future inflation agent</t>
        </is>
      </c>
      <c r="G17" s="3" t="inlineStr">
        <is>
          <t>Core inflation decomposition and diffusion index (breadth of price pressure)</t>
        </is>
      </c>
    </row>
    <row r="18" ht="34.05" customHeight="1">
      <c r="A18" s="3" t="inlineStr">
        <is>
          <t>Signal on whether inflation expectations are anchored or de-anchoring</t>
        </is>
      </c>
      <c r="B18" s="3" t="n"/>
      <c r="C18" s="4" t="n"/>
      <c r="D18" s="4" t="n"/>
      <c r="E18" s="8" t="inlineStr">
        <is>
          <t>Needs agent</t>
        </is>
      </c>
      <c r="F18" s="3" t="inlineStr">
        <is>
          <t>Tier 2 — From a future inflation agent</t>
        </is>
      </c>
      <c r="G18" s="3" t="inlineStr">
        <is>
          <t>Signal on whether inflation expectations are anchored or de-anchoring (distance of Focus 12m/24m from target, and its trend)</t>
        </is>
      </c>
    </row>
    <row r="19" ht="34.05" customHeight="1">
      <c r="A19" s="3" t="inlineStr">
        <is>
          <t>Output gap estimate</t>
        </is>
      </c>
      <c r="B19" s="3" t="n"/>
      <c r="C19" s="4" t="n"/>
      <c r="D19" s="4" t="n"/>
      <c r="E19" s="8" t="inlineStr">
        <is>
          <t>Needs agent</t>
        </is>
      </c>
      <c r="F19" s="3" t="inlineStr">
        <is>
          <t>Tier 2 — From a future activity agent</t>
        </is>
      </c>
      <c r="G19" s="3" t="inlineStr">
        <is>
          <t>Output gap estimate (vs. atv_ibcbr/atv_pib-based potential)</t>
        </is>
      </c>
    </row>
    <row r="20" ht="34.05" customHeight="1">
      <c r="A20" s="3" t="inlineStr">
        <is>
          <t>Labor market slack</t>
        </is>
      </c>
      <c r="B20" s="3" t="n"/>
      <c r="C20" s="4" t="n"/>
      <c r="D20" s="4" t="n"/>
      <c r="E20" s="8" t="inlineStr">
        <is>
          <t>Needs agent</t>
        </is>
      </c>
      <c r="F20" s="3" t="inlineStr">
        <is>
          <t>Tier 2 — From a future activity agent</t>
        </is>
      </c>
      <c r="G20" s="3" t="inlineStr">
        <is>
          <t>Labor market slack (unemployment gap vs. NAIRU-type estimate)</t>
        </is>
      </c>
    </row>
    <row r="21" ht="49.05" customHeight="1">
      <c r="A21" s="3" t="inlineStr">
        <is>
          <t>Credit growth / credit impulse read</t>
        </is>
      </c>
      <c r="B21" s="3" t="n"/>
      <c r="C21" s="4" t="n"/>
      <c r="D21" s="4" t="n"/>
      <c r="E21" s="8" t="inlineStr">
        <is>
          <t>Needs agent</t>
        </is>
      </c>
      <c r="F21" s="3" t="inlineStr">
        <is>
          <t>Tier 2 — From a future activity agent</t>
        </is>
      </c>
      <c r="G21" s="3" t="inlineStr">
        <is>
          <t>Credit growth / credit impulse read (ties to the #transmission_channels_financial_frictions bibliography cluster — how much of any given Selic move is actually reaching the real economy through credit)</t>
        </is>
      </c>
    </row>
    <row r="22" ht="34.05" customHeight="1">
      <c r="A22" s="3" t="inlineStr">
        <is>
          <t>Primary balance and debt trajectory signal</t>
        </is>
      </c>
      <c r="B22" s="3" t="n"/>
      <c r="C22" s="4" t="n"/>
      <c r="D22" s="4" t="n"/>
      <c r="E22" s="8" t="inlineStr">
        <is>
          <t>Needs agent</t>
        </is>
      </c>
      <c r="F22" s="3" t="inlineStr">
        <is>
          <t>Tier 2 — From a future fiscal agent</t>
        </is>
      </c>
      <c r="G22" s="3" t="inlineStr">
        <is>
          <t>Primary balance and debt trajectory signal</t>
        </is>
      </c>
    </row>
    <row r="23" ht="34.05" customHeight="1">
      <c r="A23" s="3" t="inlineStr">
        <is>
          <t>A fiscal impulse measure</t>
        </is>
      </c>
      <c r="B23" s="3" t="n"/>
      <c r="C23" s="4" t="n"/>
      <c r="D23" s="4" t="n"/>
      <c r="E23" s="8" t="inlineStr">
        <is>
          <t>Needs agent</t>
        </is>
      </c>
      <c r="F23" s="3" t="inlineStr">
        <is>
          <t>Tier 2 — From a future fiscal agent</t>
        </is>
      </c>
      <c r="G23" s="3" t="inlineStr">
        <is>
          <t>A fiscal impulse measure (is fiscal policy net expansionary or contractionary right now)</t>
        </is>
      </c>
    </row>
    <row r="24" ht="64.05" customHeight="1">
      <c r="A24" s="3" t="inlineStr">
        <is>
          <t>A fiscal-dominance / sustainability risk signal — directly operationalizes Blanchard</t>
        </is>
      </c>
      <c r="B24" s="3" t="n"/>
      <c r="C24" s="4" t="n"/>
      <c r="D24" s="4" t="n"/>
      <c r="E24" s="8" t="inlineStr">
        <is>
          <t>Needs agent</t>
        </is>
      </c>
      <c r="F24" s="3" t="inlineStr">
        <is>
          <t>Tier 2 — From a future fiscal agent</t>
        </is>
      </c>
      <c r="G24" s="3" t="inlineStr">
        <is>
          <t>A fiscal-dominance / sustainability risk signal — directly operationalizes Blanchard (2004): is there a regime where hiking Selic further would raise, not lower, medium-term inflation risk through the debt/risk-premium channel?</t>
        </is>
      </c>
    </row>
    <row r="25" ht="34.05" customHeight="1">
      <c r="A25" s="3" t="inlineStr">
        <is>
          <t>An FX pass-through estimate</t>
        </is>
      </c>
      <c r="B25" s="3" t="n"/>
      <c r="C25" s="4" t="n"/>
      <c r="D25" s="4" t="n"/>
      <c r="E25" s="8" t="inlineStr">
        <is>
          <t>Needs agent</t>
        </is>
      </c>
      <c r="F25" s="3" t="inlineStr">
        <is>
          <t>Tier 2 — From the exchange rate agent (already substantially built</t>
        </is>
      </c>
      <c r="G25" s="3" t="inlineStr">
        <is>
          <t>An FX pass-through estimate (how much of any BRL move shows up in inflation, and over what horizon)</t>
        </is>
      </c>
    </row>
    <row r="26" ht="34.05" customHeight="1">
      <c r="A26" s="3" t="inlineStr">
        <is>
          <t>A REER over/undervaluation signal</t>
        </is>
      </c>
      <c r="B26" s="3" t="n"/>
      <c r="C26" s="4" t="n"/>
      <c r="D26" s="4" t="n"/>
      <c r="E26" s="8" t="inlineStr">
        <is>
          <t>Needs agent</t>
        </is>
      </c>
      <c r="F26" s="3" t="inlineStr">
        <is>
          <t>Tier 2 — From the exchange rate agent (already substantially built</t>
        </is>
      </c>
      <c r="G26" s="3" t="inlineStr">
        <is>
          <t>A REER over/undervaluation signal (already have raw REER in macro_international.cmb_reer; no "gap vs. equilibrium" estimate yet)</t>
        </is>
      </c>
    </row>
    <row r="27" ht="34.05" customHeight="1">
      <c r="A27" s="3" t="inlineStr">
        <is>
          <t>A capital-flow-pressure read</t>
        </is>
      </c>
      <c r="B27" s="3" t="n"/>
      <c r="C27" s="4" t="n"/>
      <c r="D27" s="4" t="n"/>
      <c r="E27" s="8" t="inlineStr">
        <is>
          <t>Needs agent</t>
        </is>
      </c>
      <c r="F27" s="3" t="inlineStr">
        <is>
          <t>Tier 2 — From the exchange rate agent (already substantially built</t>
        </is>
      </c>
      <c r="G27" s="3" t="inlineStr">
        <is>
          <t>A capital-flow-pressure read (from cmb_balanco_pagmt/cmb_cot_fx) as a leading indicator of FX-driven imported-inflation risk</t>
        </is>
      </c>
    </row>
    <row r="28" ht="49.05" customHeight="1">
      <c r="A28" s="3" t="inlineStr">
        <is>
          <t>Global financial cycle stance / risk sentiment proxy</t>
        </is>
      </c>
      <c r="B28" s="3" t="n"/>
      <c r="C28" s="4" t="n"/>
      <c r="D28" s="4" t="n"/>
      <c r="E28" s="8" t="inlineStr">
        <is>
          <t>Needs agent</t>
        </is>
      </c>
      <c r="F28" s="3" t="inlineStr">
        <is>
          <t>Tier 2 — From a possible future global/markets agent (not yet scoped at all)</t>
        </is>
      </c>
      <c r="G28" s="3" t="inlineStr">
        <is>
          <t>Global financial cycle stance / risk sentiment proxy (VIX, EM risk premia) — the empirical counterpart to the Rey/Obstfeld debate</t>
        </is>
      </c>
    </row>
    <row r="29" ht="49.05" customHeight="1">
      <c r="A29" s="3" t="inlineStr">
        <is>
          <t>Commodity price cycle read</t>
        </is>
      </c>
      <c r="B29" s="3" t="n"/>
      <c r="C29" s="4" t="n"/>
      <c r="D29" s="4" t="n"/>
      <c r="E29" s="8" t="inlineStr">
        <is>
          <t>Needs agent</t>
        </is>
      </c>
      <c r="F29" s="3" t="inlineStr">
        <is>
          <t>Tier 2 — From a possible future global/markets agent (not yet scoped at all)</t>
        </is>
      </c>
      <c r="G29" s="3" t="inlineStr">
        <is>
          <t>Commodity price cycle read (relevant both to terms of trade and to imported inflation)</t>
        </is>
      </c>
    </row>
  </sheetData>
  <autoFilter ref="A1:G29"/>
  <pageMargins left="0.75" right="0.75" top="1" bottom="1" header="0.5" footer="0.5"/>
</worksheet>
</file>

<file path=xl/worksheets/sheet7.xml><?xml version="1.0" encoding="utf-8"?>
<worksheet xmlns="http://schemas.openxmlformats.org/spreadsheetml/2006/main">
  <sheetPr>
    <tabColor rgb="FF1F2853"/>
    <outlinePr summaryBelow="1" summaryRight="1"/>
    <pageSetUpPr/>
  </sheetPr>
  <dimension ref="A1:P44"/>
  <sheetViews>
    <sheetView showGridLines="0" workbookViewId="0">
      <pane ySplit="1" topLeftCell="A2" activePane="bottomLeft" state="frozen"/>
      <selection pane="bottomLeft" activeCell="A1" sqref="A1"/>
    </sheetView>
  </sheetViews>
  <sheetFormatPr baseColWidth="8" defaultRowHeight="14.4"/>
  <cols>
    <col width="42" customWidth="1" min="1" max="1"/>
    <col width="28" customWidth="1" min="2" max="2"/>
    <col width="12" customWidth="1" min="3" max="3"/>
    <col width="10" customWidth="1" min="4" max="4"/>
    <col width="13" customWidth="1" min="5" max="5"/>
    <col width="20" customWidth="1" min="6" max="6"/>
    <col width="22" customWidth="1" min="7" max="7"/>
    <col width="5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64.05" customHeight="1">
      <c r="A2" s="3" t="inlineStr">
        <is>
          <t>Propagation Problems and Impulse Problems in Dynamic Economics</t>
        </is>
      </c>
      <c r="B2" s="3" t="inlineStr">
        <is>
          <t>Frisch, R.</t>
        </is>
      </c>
      <c r="C2" s="4" t="inlineStr">
        <is>
          <t>1933</t>
        </is>
      </c>
      <c r="D2" s="4" t="n">
        <v>5</v>
      </c>
      <c r="E2" s="5" t="inlineStr">
        <is>
          <t>No</t>
        </is>
      </c>
      <c r="F2" s="3" t="inlineStr">
        <is>
          <t>Paper (book chapter)</t>
        </is>
      </c>
      <c r="G2" s="3" t="inlineStr">
        <is>
          <t>#business_cycle_theory_foundations</t>
        </is>
      </c>
      <c r="H2" s="3" t="inlineStr">
        <is>
          <t>The founding impulse-propagation distinction — nearly a century later, every business cycle model (RBC, NK-DSGE) is still organized around "what are the shocks" and "what is the propagation mechanism" exactly as Frisch framed it</t>
        </is>
      </c>
      <c r="I2" s="3" t="inlineStr">
        <is>
          <t>Suggested file: propagation_impulse_problems (Frisch, 1933).pdf</t>
        </is>
      </c>
      <c r="J2" s="51" t="n"/>
      <c r="K2" s="52" t="n"/>
      <c r="L2" s="52" t="n"/>
      <c r="M2" s="51" t="n"/>
      <c r="N2" s="51" t="n"/>
      <c r="O2" s="52" t="n"/>
      <c r="P2" s="51" t="n"/>
    </row>
    <row r="3" ht="79.05" customHeight="1">
      <c r="A3" s="3" t="inlineStr">
        <is>
          <t>The Summation of Random Causes as the Source of Cyclic Processes</t>
        </is>
      </c>
      <c r="B3" s="3" t="inlineStr">
        <is>
          <t>Slutsky, E.</t>
        </is>
      </c>
      <c r="C3" s="4" t="inlineStr">
        <is>
          <t>1937</t>
        </is>
      </c>
      <c r="D3" s="4" t="n">
        <v>4</v>
      </c>
      <c r="E3" s="5" t="inlineStr">
        <is>
          <t>No</t>
        </is>
      </c>
      <c r="F3" s="3" t="inlineStr">
        <is>
          <t>Paper</t>
        </is>
      </c>
      <c r="G3" s="3" t="inlineStr">
        <is>
          <t>#business_cycle_theory_foundations</t>
        </is>
      </c>
      <c r="H3" s="3" t="inlineStr">
        <is>
          <t>Companion founding result: shows that summing purely random shocks can generate apparently cyclical behavior - the statistical counterpart to Frisch's conceptual framework, and an early warning against reading business cycles as necessarily driven by a single recurring cause</t>
        </is>
      </c>
      <c r="I3" s="3" t="n"/>
      <c r="J3" s="51" t="n"/>
      <c r="K3" s="52" t="n"/>
      <c r="L3" s="52" t="n"/>
      <c r="M3" s="51" t="n"/>
      <c r="N3" s="51" t="n"/>
      <c r="O3" s="52" t="n"/>
      <c r="P3" s="51" t="n"/>
    </row>
    <row r="4" ht="79.05" customHeight="1">
      <c r="A4" s="3" t="inlineStr">
        <is>
          <t>Measuring Business Cycles</t>
        </is>
      </c>
      <c r="B4" s="3" t="inlineStr">
        <is>
          <t>Burns, A. &amp; Mitchell, W.</t>
        </is>
      </c>
      <c r="C4" s="4" t="inlineStr">
        <is>
          <t>1946</t>
        </is>
      </c>
      <c r="D4" s="4" t="n">
        <v>5</v>
      </c>
      <c r="E4" s="5" t="inlineStr">
        <is>
          <t>No</t>
        </is>
      </c>
      <c r="F4" s="3" t="inlineStr">
        <is>
          <t>Book</t>
        </is>
      </c>
      <c r="G4" s="3" t="inlineStr">
        <is>
          <t>#business_cycle_theory_foundations</t>
        </is>
      </c>
      <c r="H4" s="3" t="inlineStr">
        <is>
          <t>The empirical/dating tradition - defines a business cycle as a recurring but not periodic sequence of expansion/contraction phases across many series, not a single output series crossing a threshold. Directly the methodological ancestor of NBER's own dating committee and of CODACE (cluster 6), Brazil's equivalent</t>
        </is>
      </c>
      <c r="I4" s="3" t="n"/>
      <c r="J4" s="51" t="n"/>
      <c r="K4" s="52" t="n"/>
      <c r="L4" s="52" t="n"/>
      <c r="M4" s="51" t="n"/>
      <c r="N4" s="51" t="n"/>
      <c r="O4" s="52" t="n"/>
      <c r="P4" s="51" t="n"/>
    </row>
    <row r="5" ht="94.05" customHeight="1">
      <c r="A5" s="3" t="inlineStr">
        <is>
          <t>Understanding Business Cycles</t>
        </is>
      </c>
      <c r="B5" s="3" t="inlineStr">
        <is>
          <t>Lucas, R.</t>
        </is>
      </c>
      <c r="C5" s="4" t="inlineStr">
        <is>
          <t>1977</t>
        </is>
      </c>
      <c r="D5" s="4" t="n">
        <v>5</v>
      </c>
      <c r="E5" s="5" t="inlineStr">
        <is>
          <t>No</t>
        </is>
      </c>
      <c r="F5" s="3" t="inlineStr">
        <is>
          <t>Paper</t>
        </is>
      </c>
      <c r="G5" s="3" t="inlineStr">
        <is>
          <t>#business_cycle_theory_foundations</t>
        </is>
      </c>
      <c r="H5" s="3" t="inlineStr">
        <is>
          <t>Lucas's own manifesto for equilibrium business cycle theory - argues cycles should be explained as the equilibrium response of rational agents to shocks, not as market failure; the direct theoretical setup for Kydland-Prescott below. Distinct from Lucas's 1976 policy-evaluation critique already cited in the monetary policy and inflation bibliographies</t>
        </is>
      </c>
      <c r="I5" s="3" t="n"/>
      <c r="J5" s="51" t="n"/>
      <c r="K5" s="52" t="n"/>
      <c r="L5" s="52" t="n"/>
      <c r="M5" s="51" t="n"/>
      <c r="N5" s="51" t="n"/>
      <c r="O5" s="52" t="n"/>
      <c r="P5" s="51" t="n"/>
    </row>
    <row r="6" ht="64.05" customHeight="1">
      <c r="A6" s="3" t="inlineStr">
        <is>
          <t>Time to Build and Aggregate Fluctuations</t>
        </is>
      </c>
      <c r="B6" s="3" t="inlineStr">
        <is>
          <t>Kydland, F. &amp; Prescott, E.</t>
        </is>
      </c>
      <c r="C6" s="4" t="inlineStr">
        <is>
          <t>1982</t>
        </is>
      </c>
      <c r="D6" s="4" t="n">
        <v>5</v>
      </c>
      <c r="E6" s="5" t="inlineStr">
        <is>
          <t>No</t>
        </is>
      </c>
      <c r="F6" s="3" t="inlineStr">
        <is>
          <t>Paper</t>
        </is>
      </c>
      <c r="G6" s="3" t="inlineStr">
        <is>
          <t>#business_cycle_theory_foundations</t>
        </is>
      </c>
      <c r="H6" s="3" t="inlineStr">
        <is>
          <t>THE founding Real Business Cycle (RBC) paper - shows technology shocks propagated through a time-to-build investment structure can generate realistic-looking business cycles without any nominal rigidity or policy failure</t>
        </is>
      </c>
      <c r="I6" s="3" t="n"/>
      <c r="J6" s="51" t="n"/>
      <c r="K6" s="52" t="n"/>
      <c r="L6" s="52" t="n"/>
      <c r="M6" s="51" t="n"/>
      <c r="N6" s="51" t="n"/>
      <c r="O6" s="52" t="n"/>
      <c r="P6" s="51" t="n"/>
    </row>
    <row r="7" ht="64.05" customHeight="1">
      <c r="A7" s="3" t="inlineStr">
        <is>
          <t>Real Business Cycles</t>
        </is>
      </c>
      <c r="B7" s="3" t="inlineStr">
        <is>
          <t>Long, J. &amp; Plosser, C.</t>
        </is>
      </c>
      <c r="C7" s="4" t="inlineStr">
        <is>
          <t>1983</t>
        </is>
      </c>
      <c r="D7" s="4" t="n">
        <v>4</v>
      </c>
      <c r="E7" s="5" t="inlineStr">
        <is>
          <t>No</t>
        </is>
      </c>
      <c r="F7" s="3" t="inlineStr">
        <is>
          <t>Paper</t>
        </is>
      </c>
      <c r="G7" s="3" t="inlineStr">
        <is>
          <t>#business_cycle_theory_foundations</t>
        </is>
      </c>
      <c r="H7" s="3" t="inlineStr">
        <is>
          <t>The other founding RBC paper, published almost simultaneously with Kydland-Prescott - a multi-sector real model showing comovement across sectors from a common technology shock, without any money or nominal rigidity</t>
        </is>
      </c>
      <c r="I7" s="3" t="n"/>
      <c r="J7" s="51" t="n"/>
      <c r="K7" s="52" t="n"/>
      <c r="L7" s="52" t="n"/>
      <c r="M7" s="51" t="n"/>
      <c r="N7" s="51" t="n"/>
      <c r="O7" s="52" t="n"/>
      <c r="P7" s="51" t="n"/>
    </row>
    <row r="8" ht="49.05" customHeight="1">
      <c r="A8" s="3" t="inlineStr">
        <is>
          <t>Potential GNP: Its Measurement and Significance</t>
        </is>
      </c>
      <c r="B8" s="3" t="inlineStr">
        <is>
          <t>Okun, A.</t>
        </is>
      </c>
      <c r="C8" s="4" t="inlineStr">
        <is>
          <t>1962</t>
        </is>
      </c>
      <c r="D8" s="4" t="n">
        <v>5</v>
      </c>
      <c r="E8" s="5" t="inlineStr">
        <is>
          <t>No</t>
        </is>
      </c>
      <c r="F8" s="3" t="inlineStr">
        <is>
          <t>Paper</t>
        </is>
      </c>
      <c r="G8" s="3" t="inlineStr">
        <is>
          <t>#output_gap_and_potential_output_measurement</t>
        </is>
      </c>
      <c r="H8" s="3" t="inlineStr">
        <is>
          <t>The founding statement of the output gap concept itself (alongside Okun's Law, the unemployment-output relationship) — everything in this cluster is downstream of this paper's basic framing</t>
        </is>
      </c>
      <c r="I8" s="3" t="inlineStr">
        <is>
          <t>Suggested file: potential_gnp_measurement (Okun, 1962).pdf</t>
        </is>
      </c>
      <c r="J8" s="51" t="n"/>
      <c r="K8" s="52" t="n"/>
      <c r="L8" s="52" t="n"/>
      <c r="M8" s="51" t="n"/>
      <c r="N8" s="51" t="n"/>
      <c r="O8" s="52" t="n"/>
      <c r="P8" s="51" t="n"/>
    </row>
    <row r="9" ht="94.05" customHeight="1">
      <c r="A9" s="3" t="inlineStr">
        <is>
          <t>Postwar U.S. Business Cycles: An Empirical Investigation</t>
        </is>
      </c>
      <c r="B9" s="3" t="inlineStr">
        <is>
          <t>Hodrick, R. &amp; Prescott, E.</t>
        </is>
      </c>
      <c r="C9" s="4" t="inlineStr">
        <is>
          <t>1997</t>
        </is>
      </c>
      <c r="D9" s="4" t="n">
        <v>5</v>
      </c>
      <c r="E9" s="5" t="inlineStr">
        <is>
          <t>No</t>
        </is>
      </c>
      <c r="F9" s="3" t="inlineStr">
        <is>
          <t>Paper</t>
        </is>
      </c>
      <c r="G9" s="3" t="inlineStr">
        <is>
          <t>#output_gap_and_potential_output_measurement</t>
        </is>
      </c>
      <c r="H9" s="3" t="inlineStr">
        <is>
          <t>The canonical citation for the HP filter - the single most-used (and most-criticized, see the well-known "spurious cycle" critique) trend-extraction tool for separating potential output from the cycle; essential to read before using or critiquing any HP-filtered output gap, including the Brazil-specific ones in the local database</t>
        </is>
      </c>
      <c r="I9" s="3" t="n"/>
      <c r="J9" s="51" t="n"/>
      <c r="K9" s="52" t="n"/>
      <c r="L9" s="52" t="n"/>
      <c r="M9" s="51" t="n"/>
      <c r="N9" s="51" t="n"/>
      <c r="O9" s="52" t="n"/>
      <c r="P9" s="51" t="n"/>
    </row>
    <row r="10" ht="64.05" customHeight="1">
      <c r="A10" s="3" t="inlineStr">
        <is>
          <t>The Dynamic Effects of Aggregate Demand and Supply Disturbances</t>
        </is>
      </c>
      <c r="B10" s="3" t="inlineStr">
        <is>
          <t>Blanchard, O. &amp; Quah, D.</t>
        </is>
      </c>
      <c r="C10" s="4" t="inlineStr">
        <is>
          <t>1989</t>
        </is>
      </c>
      <c r="D10" s="4" t="n">
        <v>5</v>
      </c>
      <c r="E10" s="5" t="inlineStr">
        <is>
          <t>No</t>
        </is>
      </c>
      <c r="F10" s="3" t="inlineStr">
        <is>
          <t>Paper</t>
        </is>
      </c>
      <c r="G10" s="3" t="inlineStr">
        <is>
          <t>#output_gap_and_potential_output_measurement</t>
        </is>
      </c>
      <c r="H10" s="3" t="inlineStr">
        <is>
          <t>Structural VAR decomposition into permanent (supply) and transitory (demand) shocks - a theory-disciplined alternative to purely statistical filters like HP, and the standard reference for that whole class of output gap methodology</t>
        </is>
      </c>
      <c r="I10" s="3" t="n"/>
      <c r="J10" s="51" t="n"/>
      <c r="K10" s="52" t="n"/>
      <c r="L10" s="52" t="n"/>
      <c r="M10" s="51" t="n"/>
      <c r="N10" s="51" t="n"/>
      <c r="O10" s="52" t="n"/>
      <c r="P10" s="51" t="n"/>
    </row>
    <row r="11" ht="49.05" customHeight="1">
      <c r="A11" s="3" t="inlineStr">
        <is>
          <t>Estimating Potential Output as a Latent Variable</t>
        </is>
      </c>
      <c r="B11" s="3" t="inlineStr">
        <is>
          <t>Kuttner, K.</t>
        </is>
      </c>
      <c r="C11" s="4" t="inlineStr">
        <is>
          <t>1994</t>
        </is>
      </c>
      <c r="D11" s="4" t="n">
        <v>4</v>
      </c>
      <c r="E11" s="5" t="inlineStr">
        <is>
          <t>No</t>
        </is>
      </c>
      <c r="F11" s="3" t="inlineStr">
        <is>
          <t>Paper</t>
        </is>
      </c>
      <c r="G11" s="3" t="inlineStr">
        <is>
          <t>#output_gap_and_potential_output_measurement</t>
        </is>
      </c>
      <c r="H11" s="3" t="inlineStr">
        <is>
          <t>Unobserved-components/Kalman-filter approach to potential output - the direct methodological ancestor of the Harvey-Clark method used in the Brazil-specific paper below</t>
        </is>
      </c>
      <c r="I11" s="3" t="n"/>
      <c r="J11" s="51" t="n"/>
      <c r="K11" s="52" t="n"/>
      <c r="L11" s="52" t="n"/>
      <c r="M11" s="51" t="n"/>
      <c r="N11" s="51" t="n"/>
      <c r="O11" s="52" t="n"/>
      <c r="P11" s="51" t="n"/>
    </row>
    <row r="12" ht="109.05" customHeight="1">
      <c r="A12" s="3" t="inlineStr">
        <is>
          <t>Output Gap and GDP in Brazil: A Real-Time Data Analysis</t>
        </is>
      </c>
      <c r="B12" s="3" t="inlineStr">
        <is>
          <t>Cusinato, R.T., Minella, A. &amp; Porto Junior, S.</t>
        </is>
      </c>
      <c r="C12" s="4" t="inlineStr">
        <is>
          <t>2010</t>
        </is>
      </c>
      <c r="D12" s="4" t="n">
        <v>5</v>
      </c>
      <c r="E12" s="5" t="inlineStr">
        <is>
          <t>No</t>
        </is>
      </c>
      <c r="F12" s="3" t="inlineStr">
        <is>
          <t>Paper</t>
        </is>
      </c>
      <c r="G12" s="3" t="inlineStr">
        <is>
          <t>#output_gap_and_potential_output_measurement</t>
        </is>
      </c>
      <c r="H12" s="3" t="inlineStr">
        <is>
          <t>The definitive Brazil-specific output-gap methodology comparison - tests HP filter, linear/quadratic trend, and the Harvey-Clark unobserved-components model against real-time (not just final-revision) Brazilian GDP data, finding substantial revision uncertainty across all methods. Directly informs the "no output-gap estimate exists" gap already flagged in monetary_policy_data_inventory.md SS4</t>
        </is>
      </c>
      <c r="I12" s="3" t="n"/>
      <c r="J12" s="51" t="n"/>
      <c r="K12" s="52" t="n"/>
      <c r="L12" s="52" t="n"/>
      <c r="M12" s="51" t="n"/>
      <c r="N12" s="51" t="n"/>
      <c r="O12" s="52" t="n"/>
      <c r="P12" s="51" t="n"/>
    </row>
    <row r="13" ht="109.05" customHeight="1">
      <c r="A13" s="3" t="inlineStr">
        <is>
          <t>Produto Potencial: Conceitos, Metodos de Estimacao e Aplicacao a Economia Brasileira</t>
        </is>
      </c>
      <c r="B13" s="3" t="inlineStr">
        <is>
          <t>Souza Junior, J.R.C.</t>
        </is>
      </c>
      <c r="C13" s="4" t="inlineStr">
        <is>
          <t>2005</t>
        </is>
      </c>
      <c r="D13" s="4" t="n">
        <v>4</v>
      </c>
      <c r="E13" s="5" t="inlineStr">
        <is>
          <t>No</t>
        </is>
      </c>
      <c r="F13" s="3" t="inlineStr">
        <is>
          <t>Paper</t>
        </is>
      </c>
      <c r="G13" s="3" t="inlineStr">
        <is>
          <t>#output_gap_and_potential_output_measurement</t>
        </is>
      </c>
      <c r="H13" s="3" t="inlineStr">
        <is>
          <t>The broadest Brazil-specific potential-output survey - combines the production-function method with the HP filter and finds the 2003+ recovery wasn't matched by equivalent potential-output growth; complements Cusinato-Minella-Porto Junior's narrower methodology-comparison focus with a fuller conceptual treatment and a production-function angle that connects directly to cluster 9's productivity work</t>
        </is>
      </c>
      <c r="I13" s="3" t="inlineStr">
        <is>
          <t>Also listed under #brazil_productivity_and_potential_growth</t>
        </is>
      </c>
      <c r="J13" s="51" t="n"/>
      <c r="K13" s="52" t="n"/>
      <c r="L13" s="52" t="n"/>
      <c r="M13" s="51" t="n"/>
      <c r="N13" s="51" t="n"/>
      <c r="O13" s="52" t="n"/>
      <c r="P13" s="51" t="n"/>
    </row>
    <row r="14" ht="109.05" customHeight="1">
      <c r="A14" s="3" t="inlineStr">
        <is>
          <t>Technical Change and the Aggregate Production Function</t>
        </is>
      </c>
      <c r="B14" s="3" t="inlineStr">
        <is>
          <t>Solow, R.</t>
        </is>
      </c>
      <c r="C14" s="4" t="inlineStr">
        <is>
          <t>1957</t>
        </is>
      </c>
      <c r="D14" s="4" t="n">
        <v>5</v>
      </c>
      <c r="E14" s="5" t="inlineStr">
        <is>
          <t>No</t>
        </is>
      </c>
      <c r="F14" s="3" t="inlineStr">
        <is>
          <t>Paper</t>
        </is>
      </c>
      <c r="G14" s="3" t="inlineStr">
        <is>
          <t>#brazil_productivity_and_potential_growth</t>
        </is>
      </c>
      <c r="H14" s="3" t="inlineStr">
        <is>
          <t>The founding growth-accounting paper — introduces the "Solow residual," decomposing output growth into capital, labor, and an unexplained residual (total factor productivity). Distinct from Solow (1956, cluster 3), which is the theoretical growth model; this is the empirical measurement companion that everything in this cluster, including the Brazil-specific studies below, is built on</t>
        </is>
      </c>
      <c r="I14" s="3" t="inlineStr">
        <is>
          <t>Suggested file: technical_change_aggregate_production_function (Solow, 1957).pdf</t>
        </is>
      </c>
      <c r="J14" s="51" t="n"/>
      <c r="K14" s="52" t="n"/>
      <c r="L14" s="52" t="n"/>
      <c r="M14" s="51" t="n"/>
      <c r="N14" s="51" t="n"/>
      <c r="O14" s="52" t="n"/>
      <c r="P14" s="51" t="n"/>
    </row>
    <row r="15" ht="79.05" customHeight="1">
      <c r="A15" s="3" t="inlineStr">
        <is>
          <t>Evolucao da Produtividade e do Rendimento do Trabalho</t>
        </is>
      </c>
      <c r="B15" s="3" t="inlineStr">
        <is>
          <t>Banco Central do Brasil</t>
        </is>
      </c>
      <c r="C15" s="4" t="inlineStr">
        <is>
          <t>2018</t>
        </is>
      </c>
      <c r="D15" s="4" t="n">
        <v>4</v>
      </c>
      <c r="E15" s="5" t="inlineStr">
        <is>
          <t>No</t>
        </is>
      </c>
      <c r="F15" s="3" t="inlineStr">
        <is>
          <t>Paper (report box / special study)</t>
        </is>
      </c>
      <c r="G15" s="3" t="inlineStr">
        <is>
          <t>#brazil_productivity_and_potential_growth</t>
        </is>
      </c>
      <c r="H15" s="3" t="inlineStr">
        <is>
          <t>BCB's own labor-productivity study — measures value-added per worker (VAB/PO) for 2012Q1-2018Q3 in the sectors most tied to the business cycle, finds a 9.5% cumulative decline driven mostly by within-sector (not reallocation) effects, and compares it against real labor income growth</t>
        </is>
      </c>
      <c r="I15" s="3" t="inlineStr">
        <is>
          <t>Suggested file: evolucao_produtividade_rendimento_trabalho (BCB, 2018).pdf</t>
        </is>
      </c>
      <c r="J15" s="51" t="n"/>
      <c r="K15" s="52" t="n"/>
      <c r="L15" s="52" t="n"/>
      <c r="M15" s="51" t="n"/>
      <c r="N15" s="51" t="n"/>
      <c r="O15" s="52" t="n"/>
      <c r="P15" s="51" t="n"/>
    </row>
    <row r="16" ht="109.05" customHeight="1">
      <c r="A16" s="3" t="inlineStr">
        <is>
          <t>Nota Metodologica dos Indicadores Anuais de Produtividade Total dos Fatores no Brasil desde a Decada de 1980</t>
        </is>
      </c>
      <c r="B16" s="3" t="inlineStr">
        <is>
          <t>Veloso, F., Matos, S. &amp; Peruchetti, P.</t>
        </is>
      </c>
      <c r="C16" s="4" t="inlineStr">
        <is>
          <t>2020</t>
        </is>
      </c>
      <c r="D16" s="4" t="n">
        <v>5</v>
      </c>
      <c r="E16" s="5" t="inlineStr">
        <is>
          <t>No</t>
        </is>
      </c>
      <c r="F16" s="3" t="inlineStr">
        <is>
          <t>Paper (methodological note)</t>
        </is>
      </c>
      <c r="G16" s="3" t="inlineStr">
        <is>
          <t>#brazil_productivity_and_potential_growth</t>
        </is>
      </c>
      <c r="H16" s="3" t="inlineStr">
        <is>
          <t>This closes the gap flagged in the previous pass — the actual aggregate-TFP-for-Brazil methodology note, filling exactly the hole BCB's own material (labor productivity only, EE027/2018 above) doesn't cover. Built to address a specific problem the authors identify explicitly: existing Brazilian TFP estimates were often not public or not documented in enough detail to replicate</t>
        </is>
      </c>
      <c r="I16" s="3" t="inlineStr">
        <is>
          <t>Suggested file: ptf_brasil_nota_metodologica (Veloso, Matos &amp; Peruchetti, 2020a).pdf</t>
        </is>
      </c>
      <c r="J16" s="51" t="n"/>
      <c r="K16" s="52" t="n"/>
      <c r="L16" s="52" t="n"/>
      <c r="M16" s="51" t="n"/>
      <c r="N16" s="51" t="n"/>
      <c r="O16" s="52" t="n"/>
      <c r="P16" s="51" t="n"/>
    </row>
    <row r="17" ht="109.05" customHeight="1">
      <c r="A17" s="3" t="inlineStr">
        <is>
          <t>Produtividade Total dos Fatores no Brasil: Uma Visao de Longo Prazo</t>
        </is>
      </c>
      <c r="B17" s="3" t="inlineStr">
        <is>
          <t>Veloso, F., Matos, S. &amp; Peruchetti, P.</t>
        </is>
      </c>
      <c r="C17" s="4" t="inlineStr">
        <is>
          <t>2020</t>
        </is>
      </c>
      <c r="D17" s="4" t="n">
        <v>5</v>
      </c>
      <c r="E17" s="5" t="inlineStr">
        <is>
          <t>No</t>
        </is>
      </c>
      <c r="F17" s="3" t="inlineStr">
        <is>
          <t>Paper (results note)</t>
        </is>
      </c>
      <c r="G17" s="3" t="inlineStr">
        <is>
          <t>#brazil_productivity_and_potential_growth</t>
        </is>
      </c>
      <c r="H17" s="3" t="inlineStr">
        <is>
          <t>The companion results note — presents the actual annual Brazilian TFP series from 1981, finding average TFP growth of only 0.3%/year over 1981-2019, with a negative -0.1%/year in 2010-2019 that diverges sharply from labor productivity per hour (+0.4%/year same period) — precisely the kind of concrete, decade-by-decade breakdown (1981-90, 90-00, 00-10, 10-19) useful for a Brazil growth narrative</t>
        </is>
      </c>
      <c r="I17" s="3" t="inlineStr">
        <is>
          <t>Suggested file: ptf_brasil_visao_longo_prazo (Veloso, Matos &amp; Peruchetti, 2020b).pdf</t>
        </is>
      </c>
      <c r="J17" s="51" t="n"/>
      <c r="K17" s="52" t="n"/>
      <c r="L17" s="52" t="n"/>
      <c r="M17" s="51" t="n"/>
      <c r="N17" s="51" t="n"/>
      <c r="O17" s="52" t="n"/>
      <c r="P17" s="51" t="n"/>
    </row>
    <row r="18" ht="124.05" customHeight="1">
      <c r="A18" s="3" t="inlineStr">
        <is>
          <t>Observatorio da Produtividade Regis Bonelli</t>
        </is>
      </c>
      <c r="B18" s="3" t="inlineStr">
        <is>
          <t>FGV/IBRE</t>
        </is>
      </c>
      <c r="C18" s="4" t="inlineStr">
        <is>
          <t>n/a</t>
        </is>
      </c>
      <c r="D18" s="4" t="n"/>
      <c r="E18" s="5" t="inlineStr">
        <is>
          <t>No</t>
        </is>
      </c>
      <c r="F18" s="3" t="inlineStr">
        <is>
          <t>Primary source (recurring)</t>
        </is>
      </c>
      <c r="G18" s="3" t="inlineStr">
        <is>
          <t>#brazil_productivity_and_potential_growth</t>
        </is>
      </c>
      <c r="H18" s="3" t="inlineStr">
        <is>
          <t>The Observatorio da Produtividade Regis Bonelli (ibre.fgv.br/observatorio-produtividade), FGV/IBRE's dedicated productivity-tracking portal - publishes the annual TFP and labor-productivity series above on an ongoing basis, plus further reports/notes (e.g. Veloso, Matos &amp; Peruchetti's companion piece specifically on labor productivity as the long-run growth engine). Treat similarly to CODACE in cluster 6: an ongoing feed to monitor, not a one-time acquisition.</t>
        </is>
      </c>
      <c r="I18" s="3" t="n"/>
      <c r="J18" s="51" t="n"/>
      <c r="K18" s="52" t="n"/>
      <c r="L18" s="52" t="n"/>
      <c r="M18" s="51" t="n"/>
      <c r="N18" s="51" t="n"/>
      <c r="O18" s="52" t="n"/>
      <c r="P18" s="51" t="n"/>
    </row>
    <row r="19" ht="64.05" customHeight="1">
      <c r="A19" s="3" t="inlineStr">
        <is>
          <t>Resuscitating Real Business Cycles</t>
        </is>
      </c>
      <c r="B19" s="3" t="inlineStr">
        <is>
          <t>King, R. &amp; Rebelo, S.</t>
        </is>
      </c>
      <c r="C19" s="4" t="inlineStr">
        <is>
          <t>1999</t>
        </is>
      </c>
      <c r="D19" s="4" t="n">
        <v>4</v>
      </c>
      <c r="E19" s="5" t="inlineStr">
        <is>
          <t>No</t>
        </is>
      </c>
      <c r="F19" s="3" t="inlineStr">
        <is>
          <t>Paper (handbook chapter)</t>
        </is>
      </c>
      <c r="G19" s="3" t="inlineStr">
        <is>
          <t>#modern_dsge_business_cycles</t>
        </is>
      </c>
      <c r="H19" s="3" t="inlineStr">
        <is>
          <t>Standard survey/defense/critique of the pure RBC program after a decade of challenges - the natural bridge chapter between cluster 1's founding papers and the hybrid RBC-plus-nominal-rigidity models below</t>
        </is>
      </c>
      <c r="I19" s="3" t="n"/>
      <c r="J19" s="51" t="n"/>
      <c r="K19" s="52" t="n"/>
      <c r="L19" s="52" t="n"/>
      <c r="M19" s="51" t="n"/>
      <c r="N19" s="51" t="n"/>
      <c r="O19" s="52" t="n"/>
      <c r="P19" s="51" t="n"/>
    </row>
    <row r="20" ht="64.05" customHeight="1">
      <c r="A20" s="3" t="inlineStr">
        <is>
          <t>Nominal Rigidities and the Dynamic Effects of a Shock to Monetary Policy</t>
        </is>
      </c>
      <c r="B20" s="3" t="inlineStr">
        <is>
          <t>Christiano, L., Eichenbaum, M. &amp; Evans, C.</t>
        </is>
      </c>
      <c r="C20" s="4" t="inlineStr">
        <is>
          <t>2005</t>
        </is>
      </c>
      <c r="D20" s="4" t="n">
        <v>5</v>
      </c>
      <c r="E20" s="5" t="inlineStr">
        <is>
          <t>No</t>
        </is>
      </c>
      <c r="F20" s="3" t="inlineStr">
        <is>
          <t>Paper</t>
        </is>
      </c>
      <c r="G20" s="3" t="inlineStr">
        <is>
          <t>#modern_dsge_business_cycles</t>
        </is>
      </c>
      <c r="H20" s="3" t="inlineStr">
        <is>
          <t>The "CEE model" - habit formation, investment adjustment costs, variable capital utilization, and Calvo pricing combined into the workhorse medium-scale DSGE framework most later estimated models (including Smets-Wouters below) build on</t>
        </is>
      </c>
      <c r="I20" s="3" t="n"/>
      <c r="J20" s="51" t="n"/>
      <c r="K20" s="52" t="n"/>
      <c r="L20" s="52" t="n"/>
      <c r="M20" s="51" t="n"/>
      <c r="N20" s="51" t="n"/>
      <c r="O20" s="52" t="n"/>
      <c r="P20" s="51" t="n"/>
    </row>
    <row r="21" ht="79.05" customHeight="1">
      <c r="A21" s="3" t="inlineStr">
        <is>
          <t>Shocks and Frictions in US Business Cycles: A Bayesian DSGE Approach</t>
        </is>
      </c>
      <c r="B21" s="3" t="inlineStr">
        <is>
          <t>Smets, F. &amp; Wouters, R.</t>
        </is>
      </c>
      <c r="C21" s="4" t="inlineStr">
        <is>
          <t>2007</t>
        </is>
      </c>
      <c r="D21" s="4" t="n">
        <v>5</v>
      </c>
      <c r="E21" s="5" t="inlineStr">
        <is>
          <t>No</t>
        </is>
      </c>
      <c r="F21" s="3" t="inlineStr">
        <is>
          <t>Paper</t>
        </is>
      </c>
      <c r="G21" s="3" t="inlineStr">
        <is>
          <t>#modern_dsge_business_cycles</t>
        </is>
      </c>
      <c r="H21" s="3" t="inlineStr">
        <is>
          <t>THE estimated DSGE model - the direct template for the "small-scale semi-structural models" BCB itself runs and periodically updates (see the RPM box "Atualizacao dos modelos semiestruturais de pequeno porte," June 2024) to jointly project output and inflation</t>
        </is>
      </c>
      <c r="I21" s="3" t="n"/>
      <c r="J21" s="51" t="n"/>
      <c r="K21" s="52" t="n"/>
      <c r="L21" s="52" t="n"/>
      <c r="M21" s="51" t="n"/>
      <c r="N21" s="51" t="n"/>
      <c r="O21" s="52" t="n"/>
      <c r="P21" s="51" t="n"/>
    </row>
    <row r="22" ht="64.05" customHeight="1">
      <c r="A22" s="3" t="inlineStr">
        <is>
          <t>A Contribution to the Theory of Economic Growth</t>
        </is>
      </c>
      <c r="B22" s="3" t="inlineStr">
        <is>
          <t>Solow, R.</t>
        </is>
      </c>
      <c r="C22" s="4" t="inlineStr">
        <is>
          <t>1956</t>
        </is>
      </c>
      <c r="D22" s="4" t="n">
        <v>5</v>
      </c>
      <c r="E22" s="5" t="inlineStr">
        <is>
          <t>No</t>
        </is>
      </c>
      <c r="F22" s="3" t="inlineStr">
        <is>
          <t>Paper</t>
        </is>
      </c>
      <c r="G22" s="3" t="inlineStr">
        <is>
          <t>#growth_theory_neoclassical_and_endogenous</t>
        </is>
      </c>
      <c r="H22" s="3" t="inlineStr">
        <is>
          <t>THE founding neoclassical growth model - diminishing returns to capital accumulation implies growth converges to a rate set by technology and population growth alone, not savings; still the baseline every later growth model is measured against</t>
        </is>
      </c>
      <c r="I22" s="3" t="n"/>
      <c r="J22" s="51" t="n"/>
      <c r="K22" s="52" t="n"/>
      <c r="L22" s="52" t="n"/>
      <c r="M22" s="51" t="n"/>
      <c r="N22" s="51" t="n"/>
      <c r="O22" s="52" t="n"/>
      <c r="P22" s="51" t="n"/>
    </row>
    <row r="23" ht="49.05" customHeight="1">
      <c r="A23" s="3" t="inlineStr">
        <is>
          <t>Economic Growth and Capital Accumulation</t>
        </is>
      </c>
      <c r="B23" s="3" t="inlineStr">
        <is>
          <t>Swan, T.</t>
        </is>
      </c>
      <c r="C23" s="4" t="inlineStr">
        <is>
          <t>1956</t>
        </is>
      </c>
      <c r="D23" s="4" t="n">
        <v>4</v>
      </c>
      <c r="E23" s="5" t="inlineStr">
        <is>
          <t>No</t>
        </is>
      </c>
      <c r="F23" s="3" t="inlineStr">
        <is>
          <t>Paper</t>
        </is>
      </c>
      <c r="G23" s="3" t="inlineStr">
        <is>
          <t>#growth_theory_neoclassical_and_endogenous</t>
        </is>
      </c>
      <c r="H23" s="3" t="inlineStr">
        <is>
          <t>Independent co-discoverer of the same model, published the same year - conventionally cited alongside Solow ("the Solow-Swan model")</t>
        </is>
      </c>
      <c r="I23" s="3" t="n"/>
      <c r="J23" s="51" t="n"/>
      <c r="K23" s="52" t="n"/>
      <c r="L23" s="52" t="n"/>
      <c r="M23" s="51" t="n"/>
      <c r="N23" s="51" t="n"/>
      <c r="O23" s="52" t="n"/>
      <c r="P23" s="51" t="n"/>
    </row>
    <row r="24" ht="64.05" customHeight="1">
      <c r="A24" s="3" t="inlineStr">
        <is>
          <t>Optimum Growth in an Aggregative Model of Capital Accumulation</t>
        </is>
      </c>
      <c r="B24" s="3" t="inlineStr">
        <is>
          <t>Cass, D.</t>
        </is>
      </c>
      <c r="C24" s="4" t="inlineStr">
        <is>
          <t>1965</t>
        </is>
      </c>
      <c r="D24" s="4" t="n">
        <v>4</v>
      </c>
      <c r="E24" s="5" t="inlineStr">
        <is>
          <t>No</t>
        </is>
      </c>
      <c r="F24" s="3" t="inlineStr">
        <is>
          <t>Paper</t>
        </is>
      </c>
      <c r="G24" s="3" t="inlineStr">
        <is>
          <t>#growth_theory_neoclassical_and_endogenous</t>
        </is>
      </c>
      <c r="H24" s="3" t="inlineStr">
        <is>
          <t>Endogenizes the savings rate via intertemporal utility maximization (with Ramsey 1928 and Koopmans 1965) - the "Ramsey-Cass-Koopmans" model, the standard optimal-growth extension of Solow still taught in every graduate macro sequence</t>
        </is>
      </c>
      <c r="I24" s="3" t="n"/>
      <c r="J24" s="51" t="n"/>
      <c r="K24" s="52" t="n"/>
      <c r="L24" s="52" t="n"/>
      <c r="M24" s="51" t="n"/>
      <c r="N24" s="51" t="n"/>
      <c r="O24" s="52" t="n"/>
      <c r="P24" s="51" t="n"/>
    </row>
    <row r="25" ht="64.05" customHeight="1">
      <c r="A25" s="3" t="inlineStr">
        <is>
          <t>Increasing Returns and Long-Run Growth</t>
        </is>
      </c>
      <c r="B25" s="3" t="inlineStr">
        <is>
          <t>Romer, P.</t>
        </is>
      </c>
      <c r="C25" s="4" t="inlineStr">
        <is>
          <t>1986</t>
        </is>
      </c>
      <c r="D25" s="4" t="n">
        <v>5</v>
      </c>
      <c r="E25" s="5" t="inlineStr">
        <is>
          <t>No</t>
        </is>
      </c>
      <c r="F25" s="3" t="inlineStr">
        <is>
          <t>Paper</t>
        </is>
      </c>
      <c r="G25" s="3" t="inlineStr">
        <is>
          <t>#growth_theory_neoclassical_and_endogenous</t>
        </is>
      </c>
      <c r="H25" s="3" t="inlineStr">
        <is>
          <t>The founding endogenous growth paper - knowledge/technology as an input with increasing returns, breaking Solow's diminishing-returns conclusion and making sustained growth from investment/R&amp;D possible in the model itself</t>
        </is>
      </c>
      <c r="I25" s="3" t="n"/>
      <c r="J25" s="51" t="n"/>
      <c r="K25" s="52" t="n"/>
      <c r="L25" s="52" t="n"/>
      <c r="M25" s="51" t="n"/>
      <c r="N25" s="51" t="n"/>
      <c r="O25" s="52" t="n"/>
      <c r="P25" s="51" t="n"/>
    </row>
    <row r="26" ht="64.05" customHeight="1">
      <c r="A26" s="3" t="inlineStr">
        <is>
          <t>On the Mechanics of Economic Development</t>
        </is>
      </c>
      <c r="B26" s="3" t="inlineStr">
        <is>
          <t>Lucas, R.</t>
        </is>
      </c>
      <c r="C26" s="4" t="inlineStr">
        <is>
          <t>1988</t>
        </is>
      </c>
      <c r="D26" s="4" t="n">
        <v>5</v>
      </c>
      <c r="E26" s="5" t="inlineStr">
        <is>
          <t>No</t>
        </is>
      </c>
      <c r="F26" s="3" t="inlineStr">
        <is>
          <t>Paper</t>
        </is>
      </c>
      <c r="G26" s="3" t="inlineStr">
        <is>
          <t>#growth_theory_neoclassical_and_endogenous</t>
        </is>
      </c>
      <c r="H26" s="3" t="inlineStr">
        <is>
          <t>The other founding endogenous growth paper - human capital accumulation as the engine of sustained growth, and the paper that popularized asking "why doesn't capital flow from rich to poor countries" (directly setting up cluster 4)</t>
        </is>
      </c>
      <c r="I26" s="3" t="n"/>
      <c r="J26" s="51" t="n"/>
      <c r="K26" s="52" t="n"/>
      <c r="L26" s="52" t="n"/>
      <c r="M26" s="51" t="n"/>
      <c r="N26" s="51" t="n"/>
      <c r="O26" s="52" t="n"/>
      <c r="P26" s="51" t="n"/>
    </row>
    <row r="27" ht="64.05" customHeight="1">
      <c r="A27" s="3" t="inlineStr">
        <is>
          <t>Economic Growth (2nd ed., selected chapters)</t>
        </is>
      </c>
      <c r="B27" s="3" t="inlineStr">
        <is>
          <t>Barro, R. &amp; Sala-i-Martin, X.</t>
        </is>
      </c>
      <c r="C27" s="4" t="inlineStr">
        <is>
          <t>2004</t>
        </is>
      </c>
      <c r="D27" s="4" t="n">
        <v>5</v>
      </c>
      <c r="E27" s="5" t="inlineStr">
        <is>
          <t>No</t>
        </is>
      </c>
      <c r="F27" s="3" t="inlineStr">
        <is>
          <t>Book</t>
        </is>
      </c>
      <c r="G27" s="3" t="inlineStr">
        <is>
          <t>#growth_theory_neoclassical_and_endogenous</t>
        </is>
      </c>
      <c r="H27" s="3" t="inlineStr">
        <is>
          <t>The standard graduate growth textbook. Recommended: Ch. 1-2 (Solow model and its empirical fit) plus the endogenous growth chapters (Ch. 4-5) - confirm exact chapter numbers against the table of contents on acquisition</t>
        </is>
      </c>
      <c r="I27" s="3" t="n"/>
      <c r="J27" s="51" t="n"/>
      <c r="K27" s="52" t="n"/>
      <c r="L27" s="52" t="n"/>
      <c r="M27" s="51" t="n"/>
      <c r="N27" s="51" t="n"/>
      <c r="O27" s="52" t="n"/>
      <c r="P27" s="51" t="n"/>
    </row>
    <row r="28" ht="64.05" customHeight="1">
      <c r="A28" s="3" t="inlineStr">
        <is>
          <t>Economic Growth in a Cross Section of Countries</t>
        </is>
      </c>
      <c r="B28" s="3" t="inlineStr">
        <is>
          <t>Barro, R.</t>
        </is>
      </c>
      <c r="C28" s="4" t="inlineStr">
        <is>
          <t>1991</t>
        </is>
      </c>
      <c r="D28" s="4" t="n">
        <v>5</v>
      </c>
      <c r="E28" s="5" t="inlineStr">
        <is>
          <t>No</t>
        </is>
      </c>
      <c r="F28" s="3" t="inlineStr">
        <is>
          <t>Paper</t>
        </is>
      </c>
      <c r="G28" s="3" t="inlineStr">
        <is>
          <t>#convergence_middle_income_trap_and_em_growth</t>
        </is>
      </c>
      <c r="H28" s="3" t="inlineStr">
        <is>
          <t>The founding cross-country growth regression - establishes "conditional convergence" (poorer countries grow faster only after controlling for human capital, institutions, etc.) as the standard empirical framework for comparing growth across countries</t>
        </is>
      </c>
      <c r="I28" s="3" t="n"/>
      <c r="J28" s="51" t="n"/>
      <c r="K28" s="52" t="n"/>
      <c r="L28" s="52" t="n"/>
      <c r="M28" s="51" t="n"/>
      <c r="N28" s="51" t="n"/>
      <c r="O28" s="52" t="n"/>
      <c r="P28" s="51" t="n"/>
    </row>
    <row r="29" ht="79.05" customHeight="1">
      <c r="A29" s="3" t="inlineStr">
        <is>
          <t>Divergence, Big Time</t>
        </is>
      </c>
      <c r="B29" s="3" t="inlineStr">
        <is>
          <t>Pritchett, L.</t>
        </is>
      </c>
      <c r="C29" s="4" t="inlineStr">
        <is>
          <t>1997</t>
        </is>
      </c>
      <c r="D29" s="4" t="n">
        <v>5</v>
      </c>
      <c r="E29" s="5" t="inlineStr">
        <is>
          <t>No</t>
        </is>
      </c>
      <c r="F29" s="3" t="inlineStr">
        <is>
          <t>Paper</t>
        </is>
      </c>
      <c r="G29" s="3" t="inlineStr">
        <is>
          <t>#convergence_middle_income_trap_and_em_growth</t>
        </is>
      </c>
      <c r="H29" s="3" t="inlineStr">
        <is>
          <t>The essential counterpoint to naive convergence optimism - documents that the dominant historical pattern across the last century is divergence in absolute income levels, not convergence; a necessary corrective before reading any convergence-framed argument about Brazil</t>
        </is>
      </c>
      <c r="I29" s="3" t="n"/>
      <c r="J29" s="51" t="n"/>
      <c r="K29" s="52" t="n"/>
      <c r="L29" s="52" t="n"/>
      <c r="M29" s="51" t="n"/>
      <c r="N29" s="51" t="n"/>
      <c r="O29" s="52" t="n"/>
      <c r="P29" s="51" t="n"/>
    </row>
    <row r="30" ht="64.05" customHeight="1">
      <c r="A30" s="3" t="inlineStr">
        <is>
          <t>When Fast-Growing Economies Slow Down: International Evidence and Implications for China</t>
        </is>
      </c>
      <c r="B30" s="3" t="inlineStr">
        <is>
          <t>Eichengreen, B., Park, D. &amp; Shin, K.</t>
        </is>
      </c>
      <c r="C30" s="4" t="inlineStr">
        <is>
          <t>2012</t>
        </is>
      </c>
      <c r="D30" s="4" t="n">
        <v>4</v>
      </c>
      <c r="E30" s="5" t="inlineStr">
        <is>
          <t>No</t>
        </is>
      </c>
      <c r="F30" s="3" t="inlineStr">
        <is>
          <t>Paper</t>
        </is>
      </c>
      <c r="G30" s="3" t="inlineStr">
        <is>
          <t>#convergence_middle_income_trap_and_em_growth</t>
        </is>
      </c>
      <c r="H30" s="3" t="inlineStr">
        <is>
          <t>The empirical middle-income-trap/growth-slowdown paper - identifies the income level and conditions under which fast-growing economies systematically decelerate, directly applicable to reading Brazil's own post-2010 growth deceleration</t>
        </is>
      </c>
      <c r="I30" s="3" t="n"/>
      <c r="J30" s="51" t="n"/>
      <c r="K30" s="52" t="n"/>
      <c r="L30" s="52" t="n"/>
      <c r="M30" s="51" t="n"/>
      <c r="N30" s="51" t="n"/>
      <c r="O30" s="52" t="n"/>
      <c r="P30" s="51" t="n"/>
    </row>
    <row r="31" ht="79.05" customHeight="1">
      <c r="A31" s="3" t="inlineStr">
        <is>
          <t>Unconditional Convergence in Manufacturing</t>
        </is>
      </c>
      <c r="B31" s="3" t="inlineStr">
        <is>
          <t>Rodrik, D.</t>
        </is>
      </c>
      <c r="C31" s="4" t="inlineStr">
        <is>
          <t>2013</t>
        </is>
      </c>
      <c r="D31" s="4" t="n">
        <v>4</v>
      </c>
      <c r="E31" s="5" t="inlineStr">
        <is>
          <t>No</t>
        </is>
      </c>
      <c r="F31" s="3" t="inlineStr">
        <is>
          <t>Paper</t>
        </is>
      </c>
      <c r="G31" s="3" t="inlineStr">
        <is>
          <t>#convergence_middle_income_trap_and_em_growth</t>
        </is>
      </c>
      <c r="H31" s="3" t="inlineStr">
        <is>
          <t>Shows manufacturing productivity converges across countries even without aggregate convergence - a useful, more optimistic counter-lens for Brazil's industrial-competitiveness debates specifically, as opposed to the economy-wide pessimism of the middle-income-trap literature</t>
        </is>
      </c>
      <c r="I31" s="3" t="n"/>
      <c r="J31" s="51" t="n"/>
      <c r="K31" s="52" t="n"/>
      <c r="L31" s="52" t="n"/>
      <c r="M31" s="51" t="n"/>
      <c r="N31" s="51" t="n"/>
      <c r="O31" s="52" t="n"/>
      <c r="P31" s="51" t="n"/>
    </row>
    <row r="32" ht="64.05" customHeight="1">
      <c r="A32" s="3" t="inlineStr">
        <is>
          <t>New Indexes of Coincident and Leading Economic Indicators</t>
        </is>
      </c>
      <c r="B32" s="3" t="inlineStr">
        <is>
          <t>Stock, J. &amp; Watson, M.</t>
        </is>
      </c>
      <c r="C32" s="4" t="inlineStr">
        <is>
          <t>1989</t>
        </is>
      </c>
      <c r="D32" s="4" t="n">
        <v>5</v>
      </c>
      <c r="E32" s="5" t="inlineStr">
        <is>
          <t>No</t>
        </is>
      </c>
      <c r="F32" s="3" t="inlineStr">
        <is>
          <t>Paper</t>
        </is>
      </c>
      <c r="G32" s="3" t="inlineStr">
        <is>
          <t>#business_cycle_dating_and_coincident_indicators</t>
        </is>
      </c>
      <c r="H32" s="3" t="inlineStr">
        <is>
          <t>The dynamic-factor-model methodology underlying most modern monthly activity indices - conceptually the ancestor of any single-index approach to summarizing many partial activity signals into one series, including IBC-Br (cluster 7)</t>
        </is>
      </c>
      <c r="I32" s="3" t="n"/>
      <c r="J32" s="51" t="n"/>
      <c r="K32" s="52" t="n"/>
      <c r="L32" s="52" t="n"/>
      <c r="M32" s="51" t="n"/>
      <c r="N32" s="51" t="n"/>
      <c r="O32" s="52" t="n"/>
      <c r="P32" s="51" t="n"/>
    </row>
    <row r="33" ht="64.05" customHeight="1">
      <c r="A33" s="3" t="inlineStr">
        <is>
          <t>A New Coincident Index of Business Cycles Based on Monthly and Quarterly Series</t>
        </is>
      </c>
      <c r="B33" s="3" t="inlineStr">
        <is>
          <t>Mariano, R. &amp; Murasawa, Y.</t>
        </is>
      </c>
      <c r="C33" s="4" t="inlineStr">
        <is>
          <t>2003</t>
        </is>
      </c>
      <c r="D33" s="4" t="n">
        <v>4</v>
      </c>
      <c r="E33" s="5" t="inlineStr">
        <is>
          <t>No</t>
        </is>
      </c>
      <c r="F33" s="3" t="inlineStr">
        <is>
          <t>Paper</t>
        </is>
      </c>
      <c r="G33" s="3" t="inlineStr">
        <is>
          <t>#business_cycle_dating_and_coincident_indicators</t>
        </is>
      </c>
      <c r="H33" s="3" t="inlineStr">
        <is>
          <t>Mixed-frequency dynamic factor model blending monthly proxies with quarterly GDP - the more direct technical ancestor of a monthly-GDP-proxy index like IBC-Br, which faces exactly this monthly/quarterly blending problem</t>
        </is>
      </c>
      <c r="I33" s="3" t="n"/>
      <c r="J33" s="51" t="n"/>
      <c r="K33" s="52" t="n"/>
      <c r="L33" s="52" t="n"/>
      <c r="M33" s="51" t="n"/>
      <c r="N33" s="51" t="n"/>
      <c r="O33" s="52" t="n"/>
      <c r="P33" s="51" t="n"/>
    </row>
    <row r="34" ht="109.05" customHeight="1">
      <c r="A34" s="3" t="inlineStr">
        <is>
          <t>Indicadores Coincidentes de Atividade Economica e uma Cronologia de Recessoes para o Brasil</t>
        </is>
      </c>
      <c r="B34" s="3" t="inlineStr">
        <is>
          <t>Duarte, A., Issler, J.V. &amp; Spacov, A.</t>
        </is>
      </c>
      <c r="C34" s="4" t="inlineStr">
        <is>
          <t>2004</t>
        </is>
      </c>
      <c r="D34" s="4" t="n">
        <v>5</v>
      </c>
      <c r="E34" s="5" t="inlineStr">
        <is>
          <t>No</t>
        </is>
      </c>
      <c r="F34" s="3" t="inlineStr">
        <is>
          <t>Paper</t>
        </is>
      </c>
      <c r="G34" s="3" t="inlineStr">
        <is>
          <t>#business_cycle_dating_and_coincident_indicators</t>
        </is>
      </c>
      <c r="H34" s="3" t="inlineStr">
        <is>
          <t>Builds Brazil's coincident/leading indicator system directly in the Conference Board/NBER tradition (Burns &amp; Mitchell, Stock &amp; Watson methodology) and shows the resulting composite index closely tracks CODACE's own recession chronology - written by Issler, one of CODACE's own architects, making this the direct methodological bridge between the international theory above and Brazil's dating committee</t>
        </is>
      </c>
      <c r="I34" s="3" t="n"/>
      <c r="J34" s="51" t="n"/>
      <c r="K34" s="52" t="n"/>
      <c r="L34" s="52" t="n"/>
      <c r="M34" s="51" t="n"/>
      <c r="N34" s="51" t="n"/>
      <c r="O34" s="52" t="n"/>
      <c r="P34" s="51" t="n"/>
    </row>
    <row r="35" ht="94.05" customHeight="1">
      <c r="A35" s="3" t="inlineStr">
        <is>
          <t>Indicador de Condicoes Financeiras</t>
        </is>
      </c>
      <c r="B35" s="3" t="inlineStr">
        <is>
          <t>Banco Central do Brasil</t>
        </is>
      </c>
      <c r="C35" s="4" t="inlineStr">
        <is>
          <t>2020</t>
        </is>
      </c>
      <c r="D35" s="4" t="n">
        <v>4</v>
      </c>
      <c r="E35" s="5" t="inlineStr">
        <is>
          <t>No</t>
        </is>
      </c>
      <c r="F35" s="3" t="inlineStr">
        <is>
          <t>Paper (report box / special study)</t>
        </is>
      </c>
      <c r="G35" s="3" t="inlineStr">
        <is>
          <t>#business_cycle_dating_and_coincident_indicators</t>
        </is>
      </c>
      <c r="H35" s="3" t="inlineStr">
        <is>
          <t>A daily financial-conditions index (26 domestic/external variables across 7 groups - BR rates, foreign rates, risk, currencies, oil, commodities, capital markets - combined via principal components) built specifically as a forward-looking leading indicator of activity, filling the "leading indicator" half of cluster 6 that Duarte-Issler-Spacov's coincident index doesn't cover</t>
        </is>
      </c>
      <c r="I35" s="3" t="n"/>
      <c r="J35" s="51" t="n"/>
      <c r="K35" s="52" t="n"/>
      <c r="L35" s="52" t="n"/>
      <c r="M35" s="51" t="n"/>
      <c r="N35" s="51" t="n"/>
      <c r="O35" s="52" t="n"/>
      <c r="P35" s="51" t="n"/>
    </row>
    <row r="36" ht="79.05" customHeight="1">
      <c r="A36" s="3" t="inlineStr">
        <is>
          <t>Incerteza e Atividade Economica</t>
        </is>
      </c>
      <c r="B36" s="3" t="inlineStr">
        <is>
          <t>Banco Central do Brasil</t>
        </is>
      </c>
      <c r="C36" s="4" t="inlineStr">
        <is>
          <t>2019</t>
        </is>
      </c>
      <c r="D36" s="4" t="n">
        <v>3</v>
      </c>
      <c r="E36" s="5" t="inlineStr">
        <is>
          <t>No</t>
        </is>
      </c>
      <c r="F36" s="3" t="inlineStr">
        <is>
          <t>Paper (report box / special study)</t>
        </is>
      </c>
      <c r="G36" s="3" t="inlineStr">
        <is>
          <t>#business_cycle_dating_and_coincident_indicators</t>
        </is>
      </c>
      <c r="H36" s="3" t="inlineStr">
        <is>
          <t>Applies the Baker, Bloom &amp; Davis (2016) economic policy uncertainty methodology to Brazilian data, estimating how uncertainty shocks delay consumption/investment/employment decisions - a distinct driver-side complement to the composite indicators above, not itself a coincident/leading index</t>
        </is>
      </c>
      <c r="I36" s="3" t="n"/>
      <c r="J36" s="51" t="n"/>
      <c r="K36" s="52" t="n"/>
      <c r="L36" s="52" t="n"/>
      <c r="M36" s="51" t="n"/>
      <c r="N36" s="51" t="n"/>
      <c r="O36" s="52" t="n"/>
      <c r="P36" s="51" t="n"/>
    </row>
    <row r="37" ht="139.05" customHeight="1">
      <c r="A37" s="3" t="inlineStr">
        <is>
          <t>CODACE - Comite de Datacao de Ciclos Economicos</t>
        </is>
      </c>
      <c r="B37" s="3" t="inlineStr">
        <is>
          <t>FGV/IBRE</t>
        </is>
      </c>
      <c r="C37" s="4" t="inlineStr">
        <is>
          <t>n/a</t>
        </is>
      </c>
      <c r="D37" s="4" t="n"/>
      <c r="E37" s="5" t="inlineStr">
        <is>
          <t>No</t>
        </is>
      </c>
      <c r="F37" s="3" t="inlineStr">
        <is>
          <t>Primary source (recurring)</t>
        </is>
      </c>
      <c r="G37" s="3" t="inlineStr">
        <is>
          <t>#business_cycle_dating_and_coincident_indicators</t>
        </is>
      </c>
      <c r="H37" s="3" t="inlineStr">
        <is>
          <t>Ongoing primary source, not a single paper: Comite de Datacao de Ciclos Economicos (CODACE), maintained by FGV/IBRE - Brazil's own NBER-style business cycle dating committee, publishing recession/expansion turning-point calls and methodology notes on an ongoing basis rather than a fixed calendar (unlike COPOM's ~8/year cadence in the monetary policy bibliography's SS8). Retention window and ingestion approach not yet decided - flagged here rather than left undocumented, following the precedent set for COPOM materials.</t>
        </is>
      </c>
      <c r="I37" s="3" t="n"/>
      <c r="J37" s="51" t="n"/>
      <c r="K37" s="52" t="n"/>
      <c r="L37" s="52" t="n"/>
      <c r="M37" s="51" t="n"/>
      <c r="N37" s="51" t="n"/>
      <c r="O37" s="52" t="n"/>
      <c r="P37" s="51" t="n"/>
    </row>
    <row r="38" ht="64.05" customHeight="1">
      <c r="A38" s="3" t="inlineStr">
        <is>
          <t>Indice de Atividade Economica do Banco Central (IBC-Br)</t>
        </is>
      </c>
      <c r="B38" s="3" t="inlineStr">
        <is>
          <t>Banco Central do Brasil</t>
        </is>
      </c>
      <c r="C38" s="4" t="inlineStr">
        <is>
          <t>2010</t>
        </is>
      </c>
      <c r="D38" s="4" t="n">
        <v>5</v>
      </c>
      <c r="E38" s="5" t="inlineStr">
        <is>
          <t>No</t>
        </is>
      </c>
      <c r="F38" s="3" t="inlineStr">
        <is>
          <t>Paper (report box)</t>
        </is>
      </c>
      <c r="G38" s="3" t="inlineStr">
        <is>
          <t>#brazil_activity_measurement</t>
        </is>
      </c>
      <c r="H38" s="3" t="inlineStr">
        <is>
          <t>IBC-Br's original launch methodology - built specifically because Brazil, unlike most economies with monthly industrial-production data, lacked any single monthly aggregate activity gauge before this</t>
        </is>
      </c>
      <c r="I38" s="3" t="n"/>
      <c r="J38" s="51" t="n"/>
      <c r="K38" s="52" t="n"/>
      <c r="L38" s="52" t="n"/>
      <c r="M38" s="51" t="n"/>
      <c r="N38" s="51" t="n"/>
      <c r="O38" s="52" t="n"/>
      <c r="P38" s="51" t="n"/>
    </row>
    <row r="39" ht="49.05" customHeight="1">
      <c r="A39" s="3" t="inlineStr">
        <is>
          <t>Indice de Atividade Economica do Banco Central (IBC-Br) - Revisao Metodologica</t>
        </is>
      </c>
      <c r="B39" s="3" t="inlineStr">
        <is>
          <t>Banco Central do Brasil</t>
        </is>
      </c>
      <c r="C39" s="4" t="inlineStr">
        <is>
          <t>2016</t>
        </is>
      </c>
      <c r="D39" s="4" t="n">
        <v>4</v>
      </c>
      <c r="E39" s="5" t="inlineStr">
        <is>
          <t>No</t>
        </is>
      </c>
      <c r="F39" s="3" t="inlineStr">
        <is>
          <t>Paper (report box)</t>
        </is>
      </c>
      <c r="G39" s="3" t="inlineStr">
        <is>
          <t>#brazil_activity_measurement</t>
        </is>
      </c>
      <c r="H39" s="3" t="inlineStr">
        <is>
          <t>First major methodology revision to IBC-Br since launch - necessary to understand before comparing pre-2016 and post-2016 IBC-Br readings</t>
        </is>
      </c>
      <c r="I39" s="3" t="n"/>
      <c r="J39" s="51" t="n"/>
      <c r="K39" s="52" t="n"/>
      <c r="L39" s="52" t="n"/>
      <c r="M39" s="51" t="n"/>
      <c r="N39" s="51" t="n"/>
      <c r="O39" s="52" t="n"/>
      <c r="P39" s="51" t="n"/>
    </row>
    <row r="40" ht="64.05" customHeight="1">
      <c r="A40" s="3" t="inlineStr">
        <is>
          <t>Aspectos Metodologicos e Comparacoes dos Comportamentos do IBC-Br e do PIB</t>
        </is>
      </c>
      <c r="B40" s="3" t="inlineStr">
        <is>
          <t>Banco Central do Brasil</t>
        </is>
      </c>
      <c r="C40" s="4" t="inlineStr">
        <is>
          <t>2018</t>
        </is>
      </c>
      <c r="D40" s="4" t="n">
        <v>4</v>
      </c>
      <c r="E40" s="5" t="inlineStr">
        <is>
          <t>No</t>
        </is>
      </c>
      <c r="F40" s="3" t="inlineStr">
        <is>
          <t>Paper (report box / special study)</t>
        </is>
      </c>
      <c r="G40" s="3" t="inlineStr">
        <is>
          <t>#brazil_activity_measurement</t>
        </is>
      </c>
      <c r="H40" s="3" t="inlineStr">
        <is>
          <t>Directly documents where and why IBC-Br and GDP diverge (short-horizon volatility, supply-side-only construction with no demand-side balancing, seasonal-adjustment differences) - essential caveats before treating IBC-Br as a clean monthly GDP proxy</t>
        </is>
      </c>
      <c r="I40" s="3" t="n"/>
      <c r="J40" s="51" t="n"/>
      <c r="K40" s="52" t="n"/>
      <c r="L40" s="52" t="n"/>
      <c r="M40" s="51" t="n"/>
      <c r="N40" s="51" t="n"/>
      <c r="O40" s="52" t="n"/>
      <c r="P40" s="51" t="n"/>
    </row>
    <row r="41" ht="64.05" customHeight="1">
      <c r="A41" s="3" t="inlineStr">
        <is>
          <t>Sistema de Contas Nacionais Trimestrais: Notas Metodologicas</t>
        </is>
      </c>
      <c r="B41" s="3" t="inlineStr">
        <is>
          <t>IBGE</t>
        </is>
      </c>
      <c r="C41" s="4" t="inlineStr">
        <is>
          <t>n/a</t>
        </is>
      </c>
      <c r="D41" s="4" t="n">
        <v>4</v>
      </c>
      <c r="E41" s="5" t="inlineStr">
        <is>
          <t>No</t>
        </is>
      </c>
      <c r="F41" s="3" t="inlineStr">
        <is>
          <t>Paper (official methodology note)</t>
        </is>
      </c>
      <c r="G41" s="3" t="inlineStr">
        <is>
          <t>#brazil_activity_measurement</t>
        </is>
      </c>
      <c r="H41" s="3" t="inlineStr">
        <is>
          <t>The official Quarterly National Accounts methodology that IBC-Br is itself calibrated against (per the 2018 Estudo Especial above) - the necessary baseline reference for the gdp, pim, pmc, and pms tables already in macro_brasil</t>
        </is>
      </c>
      <c r="I41" s="3" t="n"/>
      <c r="J41" s="51" t="n"/>
      <c r="K41" s="52" t="n"/>
      <c r="L41" s="52" t="n"/>
      <c r="M41" s="51" t="n"/>
      <c r="N41" s="51" t="n"/>
      <c r="O41" s="52" t="n"/>
      <c r="P41" s="51" t="n"/>
    </row>
    <row r="42" ht="64.05" customHeight="1">
      <c r="A42" s="3" t="inlineStr">
        <is>
          <t>Booming Sector and De-Industrialisation in a Small Open Economy</t>
        </is>
      </c>
      <c r="B42" s="3" t="inlineStr">
        <is>
          <t>Corden, W.M. &amp; Neary, J.P.</t>
        </is>
      </c>
      <c r="C42" s="4" t="inlineStr">
        <is>
          <t>1982</t>
        </is>
      </c>
      <c r="D42" s="4" t="n">
        <v>5</v>
      </c>
      <c r="E42" s="5" t="inlineStr">
        <is>
          <t>No</t>
        </is>
      </c>
      <c r="F42" s="3" t="inlineStr">
        <is>
          <t>Paper</t>
        </is>
      </c>
      <c r="G42" s="3" t="inlineStr">
        <is>
          <t>#commodity_cycles_dutch_disease_and_growth</t>
        </is>
      </c>
      <c r="H42" s="3" t="inlineStr">
        <is>
          <t>The founding Dutch disease model - a commodity/resource boom that appreciates the real exchange rate and reallocates resources away from tradable manufacturing, formalizing a concern raised repeatedly in Brazilian industrial-policy debates</t>
        </is>
      </c>
      <c r="I42" s="3" t="n"/>
      <c r="J42" s="51" t="n"/>
      <c r="K42" s="52" t="n"/>
      <c r="L42" s="52" t="n"/>
      <c r="M42" s="51" t="n"/>
      <c r="N42" s="51" t="n"/>
      <c r="O42" s="52" t="n"/>
      <c r="P42" s="51" t="n"/>
    </row>
    <row r="43" ht="64.05" customHeight="1">
      <c r="A43" s="3" t="inlineStr">
        <is>
          <t>The Natural Resource Curse: A Survey</t>
        </is>
      </c>
      <c r="B43" s="3" t="inlineStr">
        <is>
          <t>Frankel, J.</t>
        </is>
      </c>
      <c r="C43" s="4" t="inlineStr">
        <is>
          <t>2010</t>
        </is>
      </c>
      <c r="D43" s="4" t="n">
        <v>4</v>
      </c>
      <c r="E43" s="5" t="inlineStr">
        <is>
          <t>No</t>
        </is>
      </c>
      <c r="F43" s="3" t="inlineStr">
        <is>
          <t>Paper</t>
        </is>
      </c>
      <c r="G43" s="3" t="inlineStr">
        <is>
          <t>#commodity_cycles_dutch_disease_and_growth</t>
        </is>
      </c>
      <c r="H43" s="3" t="inlineStr">
        <is>
          <t>Comprehensive survey of the resource-curse literature and its various channels (Dutch disease, volatility, institutional/political-economy effects, the "voracity effect") - situates Corden-Neary's specific mechanism within the broader debate</t>
        </is>
      </c>
      <c r="I43" s="3" t="n"/>
      <c r="J43" s="51" t="n"/>
      <c r="K43" s="52" t="n"/>
      <c r="L43" s="52" t="n"/>
      <c r="M43" s="51" t="n"/>
      <c r="N43" s="51" t="n"/>
      <c r="O43" s="52" t="n"/>
      <c r="P43" s="51" t="n"/>
    </row>
    <row r="44" ht="79.05" customHeight="1">
      <c r="A44" s="3" t="inlineStr">
        <is>
          <t>World Shocks, World Prices, and Business Cycles: An Empirical Investigation</t>
        </is>
      </c>
      <c r="B44" s="3" t="inlineStr">
        <is>
          <t>Fernandez, A., Schmitt-Grohe, S. &amp; Uribe, M.</t>
        </is>
      </c>
      <c r="C44" s="4" t="inlineStr">
        <is>
          <t>2017</t>
        </is>
      </c>
      <c r="D44" s="4" t="n">
        <v>4</v>
      </c>
      <c r="E44" s="5" t="inlineStr">
        <is>
          <t>No</t>
        </is>
      </c>
      <c r="F44" s="3" t="inlineStr">
        <is>
          <t>Paper</t>
        </is>
      </c>
      <c r="G44" s="3" t="inlineStr">
        <is>
          <t>#commodity_cycles_dutch_disease_and_growth</t>
        </is>
      </c>
      <c r="H44" s="3" t="inlineStr">
        <is>
          <t>Quantifies how much of emerging-market business cycle variance is explained by common world/commodity-price shocks versus country-specific factors - a direct empirical framework for asking how much of Brazil's own cycle is "the commodity cycle" versus domestic policy</t>
        </is>
      </c>
      <c r="I44" s="3" t="n"/>
      <c r="J44" s="51" t="n"/>
      <c r="K44" s="52" t="n"/>
      <c r="L44" s="52" t="n"/>
      <c r="M44" s="51" t="n"/>
      <c r="N44" s="51" t="n"/>
      <c r="O44" s="52" t="n"/>
      <c r="P44" s="51" t="n"/>
    </row>
  </sheetData>
  <autoFilter ref="A1:P44"/>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418791"/>
    <outlinePr summaryBelow="1" summaryRight="1"/>
    <pageSetUpPr/>
  </sheetPr>
  <dimension ref="A1:G33"/>
  <sheetViews>
    <sheetView showGridLines="0" zoomScale="70" zoomScaleNormal="70" workbookViewId="0">
      <pane ySplit="1" topLeftCell="A2" activePane="bottomLeft" state="frozen"/>
      <selection pane="bottomLeft" activeCell="A1" sqref="A1"/>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94.05" customHeight="1">
      <c r="A2" s="3" t="inlineStr">
        <is>
          <t>Supply side — agriculture, industry (+ extractive/manufacturing/utilities/construction), services (+ commerce/transport/info-comm/finance/real estate/other/public admin)</t>
        </is>
      </c>
      <c r="B2" s="3" t="inlineStr">
        <is>
          <t>macro_brasil.atv_pib · agropecuaria, industria, ind_extrativas, ind_transformacao, eletricidade_gas_agua, construcao, servicos, comercio, transporte_correio, informacao_comunicacao, financeiras_seguros, imobiliarias, outros_servicos, adm_saude_educacao_pub</t>
        </is>
      </c>
      <c r="C2" s="4" t="n"/>
      <c r="D2" s="4" t="n"/>
      <c r="E2" s="6" t="inlineStr">
        <is>
          <t>Yes</t>
        </is>
      </c>
      <c r="F2" s="3" t="inlineStr">
        <is>
          <t>1. Quarterly GDP (Contas Nacionais Trimestrais)</t>
        </is>
      </c>
      <c r="G2" s="3" t="inlineStr">
        <is>
          <t>NSA and SA</t>
        </is>
      </c>
    </row>
    <row r="3" ht="49.05" customHeight="1">
      <c r="A3" s="3" t="inlineStr">
        <is>
          <t>Demand side — household consumption, government consumption, gross fixed capital formation, exports, imports</t>
        </is>
      </c>
      <c r="B3" s="3" t="inlineStr">
        <is>
          <t>macro_brasil.atv_pib · consumo_familias, consumo_adm_publica, fbcf, exportacao, importacao</t>
        </is>
      </c>
      <c r="C3" s="4" t="n"/>
      <c r="D3" s="4" t="n"/>
      <c r="E3" s="6" t="inlineStr">
        <is>
          <t>Yes</t>
        </is>
      </c>
      <c r="F3" s="3" t="inlineStr">
        <is>
          <t>1. Quarterly GDP (Contas Nacionais Trimestrais)</t>
        </is>
      </c>
      <c r="G3" s="3" t="inlineStr">
        <is>
          <t>NSA and SA</t>
        </is>
      </c>
    </row>
    <row r="4" ht="34.05" customHeight="1">
      <c r="A4" s="3" t="inlineStr">
        <is>
          <t>Aggregates</t>
        </is>
      </c>
      <c r="B4" s="3" t="inlineStr">
        <is>
          <t>macro_brasil.atv_pib · pib_pm, valor_adicionado, impostos_liquidos</t>
        </is>
      </c>
      <c r="C4" s="4" t="n"/>
      <c r="D4" s="4" t="n"/>
      <c r="E4" s="6" t="inlineStr">
        <is>
          <t>Yes</t>
        </is>
      </c>
      <c r="F4" s="3" t="inlineStr">
        <is>
          <t>1. Quarterly GDP (Contas Nacionais Trimestrais)</t>
        </is>
      </c>
      <c r="G4" s="3" t="inlineStr">
        <is>
          <t>NSA and SA</t>
        </is>
      </c>
    </row>
    <row r="5" ht="64.05" customHeight="1">
      <c r="A5" s="3" t="inlineStr">
        <is>
          <t>Total, and by sector (agriculture, industry, services, ex-agriculture, taxes)</t>
        </is>
      </c>
      <c r="B5" s="3" t="inlineStr">
        <is>
          <t>macro_brasil.atv_ibcbr · ibcbr_nsa/ibcbr_sa, ibcbr_agropecuaria_*, ibcbr_industria_*, ibcbr_servicos_*, ibcbr_ex_agropecuaria_*, ibcbr_impostos_*</t>
        </is>
      </c>
      <c r="C5" s="4" t="inlineStr">
        <is>
          <t>2003 → today, NSA and SA</t>
        </is>
      </c>
      <c r="D5" s="4" t="n"/>
      <c r="E5" s="6" t="inlineStr">
        <is>
          <t>Yes</t>
        </is>
      </c>
      <c r="F5" s="3" t="inlineStr">
        <is>
          <t>2. IBC-Br (monthly GDP proxy)</t>
        </is>
      </c>
      <c r="G5" s="3" t="n"/>
    </row>
    <row r="6" ht="34.05" customHeight="1">
      <c r="A6" s="3" t="inlineStr">
        <is>
          <t>General industry, extractive industry, manufacturing</t>
        </is>
      </c>
      <c r="B6" s="3" t="inlineStr">
        <is>
          <t>macro_brasil.atv_pim · industria_geral, ind_extrativas, ind_transformacao</t>
        </is>
      </c>
      <c r="C6" s="4" t="inlineStr">
        <is>
          <t>2002 → today, NSA and SA</t>
        </is>
      </c>
      <c r="D6" s="4" t="n"/>
      <c r="E6" s="6" t="inlineStr">
        <is>
          <t>Yes</t>
        </is>
      </c>
      <c r="F6" s="3" t="inlineStr">
        <is>
          <t>3. Monthly industrial production (PIM)</t>
        </is>
      </c>
      <c r="G6" s="3" t="n"/>
    </row>
    <row r="7" ht="34.05" customHeight="1">
      <c r="A7" s="3" t="inlineStr">
        <is>
          <t>Restricted and expanded retail totals</t>
        </is>
      </c>
      <c r="B7" s="3" t="inlineStr">
        <is>
          <t>macro_brasil.atv_pmc · comercio_restrito_total, comercio_ampliado_total</t>
        </is>
      </c>
      <c r="C7" s="4" t="inlineStr">
        <is>
          <t>NSA and SA</t>
        </is>
      </c>
      <c r="D7" s="4" t="n"/>
      <c r="E7" s="6" t="inlineStr">
        <is>
          <t>Yes</t>
        </is>
      </c>
      <c r="F7" s="3" t="inlineStr">
        <is>
          <t>4. Monthly retail trade (PMC)</t>
        </is>
      </c>
      <c r="G7" s="3" t="n"/>
    </row>
    <row r="8" ht="64.05" customHeight="1">
      <c r="A8" s="3" t="inlineStr">
        <is>
          <t>14 retail segments (fuel, supermarkets, apparel/footwear, furniture/appliances, pharma, books, IT equipment, other personal/household, vehicles, construction materials, wholesale food)</t>
        </is>
      </c>
      <c r="B8" s="3" t="inlineStr">
        <is>
          <t>macro_brasil.atv_pmc · segment-level series (see domain/db/brasil/ibge/atv_pmc.py)</t>
        </is>
      </c>
      <c r="C8" s="4" t="inlineStr">
        <is>
          <t>NSA and SA</t>
        </is>
      </c>
      <c r="D8" s="4" t="n"/>
      <c r="E8" s="6" t="inlineStr">
        <is>
          <t>Yes</t>
        </is>
      </c>
      <c r="F8" s="3" t="inlineStr">
        <is>
          <t>4. Monthly retail trade (PMC)</t>
        </is>
      </c>
      <c r="G8" s="3" t="n"/>
    </row>
    <row r="9" ht="34.05" customHeight="1">
      <c r="A9" s="3" t="inlineStr">
        <is>
          <t>Automóveis (passenger cars)</t>
        </is>
      </c>
      <c r="B9" s="3" t="inlineStr">
        <is>
          <t>SGS 7384</t>
        </is>
      </c>
      <c r="C9" s="4" t="n"/>
      <c r="D9" s="4" t="n"/>
      <c r="E9" s="5" t="inlineStr">
        <is>
          <t>No</t>
        </is>
      </c>
      <c r="F9" s="3" t="inlineStr">
        <is>
          <t>4a. Vehicle sales/licensing (Fenabrave via BCB SGS)</t>
        </is>
      </c>
      <c r="G9" s="3" t="n"/>
    </row>
    <row r="10" ht="34.05" customHeight="1">
      <c r="A10" s="3" t="inlineStr">
        <is>
          <t>Comerciais leves (light commercial vehicles)</t>
        </is>
      </c>
      <c r="B10" s="3" t="inlineStr">
        <is>
          <t>SGS 7385</t>
        </is>
      </c>
      <c r="C10" s="4" t="n"/>
      <c r="D10" s="4" t="n"/>
      <c r="E10" s="5" t="inlineStr">
        <is>
          <t>No</t>
        </is>
      </c>
      <c r="F10" s="3" t="inlineStr">
        <is>
          <t>4a. Vehicle sales/licensing (Fenabrave via BCB SGS)</t>
        </is>
      </c>
      <c r="G10" s="3" t="n"/>
    </row>
    <row r="11" ht="34.05" customHeight="1">
      <c r="A11" s="3" t="inlineStr">
        <is>
          <t>Caminhões (trucks)</t>
        </is>
      </c>
      <c r="B11" s="3" t="inlineStr">
        <is>
          <t>SGS 7386</t>
        </is>
      </c>
      <c r="C11" s="4" t="n"/>
      <c r="D11" s="4" t="n"/>
      <c r="E11" s="5" t="inlineStr">
        <is>
          <t>No</t>
        </is>
      </c>
      <c r="F11" s="3" t="inlineStr">
        <is>
          <t>4a. Vehicle sales/licensing (Fenabrave via BCB SGS)</t>
        </is>
      </c>
      <c r="G11" s="3" t="n"/>
    </row>
    <row r="12" ht="34.05" customHeight="1">
      <c r="A12" s="3" t="inlineStr">
        <is>
          <t>Ônibus (buses)</t>
        </is>
      </c>
      <c r="B12" s="3" t="inlineStr">
        <is>
          <t>SGS 7387</t>
        </is>
      </c>
      <c r="C12" s="4" t="n"/>
      <c r="D12" s="4" t="n"/>
      <c r="E12" s="5" t="inlineStr">
        <is>
          <t>No</t>
        </is>
      </c>
      <c r="F12" s="3" t="inlineStr">
        <is>
          <t>4a. Vehicle sales/licensing (Fenabrave via BCB SGS)</t>
        </is>
      </c>
      <c r="G12" s="3" t="n"/>
    </row>
    <row r="13" ht="79.05" customHeight="1">
      <c r="A13" s="3" t="inlineStr">
        <is>
          <t>Total services, plus 4 main groups (services to families, information/communication, professional/administrative, transport/mail) and their sub-segments (lodging, food service, telecom, IT services, road/air/water transport, real estate, etc.)</t>
        </is>
      </c>
      <c r="B13" s="3" t="inlineStr">
        <is>
          <t>macro_brasil.atv_pms · servicos_total, servicos_familias, informacao_comunicacao, prof_adm_complementares, transportes_correio, plus ~20 sub-segment columns</t>
        </is>
      </c>
      <c r="C13" s="4" t="inlineStr">
        <is>
          <t>NSA and SA</t>
        </is>
      </c>
      <c r="D13" s="4" t="n"/>
      <c r="E13" s="6" t="inlineStr">
        <is>
          <t>Yes</t>
        </is>
      </c>
      <c r="F13" s="3" t="inlineStr">
        <is>
          <t>5. Monthly services (PMS)</t>
        </is>
      </c>
      <c r="G13" s="3" t="n"/>
    </row>
    <row r="14" ht="49.05" customHeight="1">
      <c r="A14" s="3" t="inlineStr">
        <is>
          <t>Broad non-financial-sector credit by instrument and institutional sector (government, corporates, households — 17 series)</t>
        </is>
      </c>
      <c r="B14" s="3" t="inlineStr">
        <is>
          <t>macro_brasil.cred_credito_amplo · see domain/db/brasil/bcb/cred_credito_amplo.py</t>
        </is>
      </c>
      <c r="C14" s="4" t="n"/>
      <c r="D14" s="4" t="n"/>
      <c r="E14" s="6" t="inlineStr">
        <is>
          <t>Yes</t>
        </is>
      </c>
      <c r="F14" s="3" t="inlineStr">
        <is>
          <t>10. Credit (activity/financial-conditions input, owned but cross-referenced)</t>
        </is>
      </c>
      <c r="G14" s="3" t="inlineStr">
        <is>
          <t>Owned by this agent — credit growth/impulse is a standard leading/coincident activity signal, not primarily a monetary-policy series despite living alongside monetary-policy-relevant data</t>
        </is>
      </c>
    </row>
    <row r="15" ht="49.05" customHeight="1">
      <c r="A15" s="3" t="inlineStr">
        <is>
          <t>Household debt-to-income, interest burden, debt-service burden (interest + amortization) as % of income</t>
        </is>
      </c>
      <c r="B15" s="3" t="inlineStr">
        <is>
          <t>macro_brasil.cred_credito_familias · 3 series, see domain/db/brasil/bcb/cred_credito_familias.py</t>
        </is>
      </c>
      <c r="C15" s="4" t="n"/>
      <c r="D15" s="4" t="n"/>
      <c r="E15" s="6" t="inlineStr">
        <is>
          <t>Yes</t>
        </is>
      </c>
      <c r="F15" s="3" t="inlineStr">
        <is>
          <t>11. Household financial conditions (context, partially owned)</t>
        </is>
      </c>
      <c r="G15" s="3" t="n"/>
    </row>
    <row r="16" ht="274.05" customHeight="1">
      <c r="A16" s="3" t="inlineStr">
        <is>
          <t>No output gap / potential output estimate computed — methodology now available (bibliography cluster 5), purely an implementation gap</t>
        </is>
      </c>
      <c r="B16" s="3" t="n"/>
      <c r="C16" s="4" t="n"/>
      <c r="D16" s="4" t="inlineStr">
        <is>
          <t>High</t>
        </is>
      </c>
      <c r="E16" s="5" t="inlineStr">
        <is>
          <t>No</t>
        </is>
      </c>
      <c r="F16" s="3" t="inlineStr">
        <is>
          <t>6. Output gap and potential growth</t>
        </is>
      </c>
      <c r="G16" s="3" t="inlineStr">
        <is>
          <t>No output gap or potential-output series is computed anywhere in the database — this is the same gap already flagged in monetary_policy_data_inventory.md §4 ("no neutral/equilibrium real rate... no output gap") from the monetary policy side. What's changed since that inventory was written: the methodology is no longer missing — economic_activity_bibliography_candidates.md cluster 5 now has both the general toolkit (HP filter, Blanchard-Quah SVAR, Kuttner unobserved-components) and two Brazil-specific applications (Cusinato-Minella-Pôrto Júnior 2010, BCB WP 203; Souza Júnior 2005, IPEA TD 1130) with real, replicable methodology. The blocker is now purely implementation — computing any of these against macro_brasil.atv_pib (§1) and/or atv_ibcbr (§2), which are already sufficient inputs. Recommended starting point: the HP filter is the cheapest to implement and the most-replicated in the literature, but per Hodrick &amp; Prescott's own paper (and its well-known end-of-sample bias) should be flagged as a first-pass estimate, not a final one — the Harvey-Clark unobserved-components approach from Cusinato et al. (2010) is more defensible but requires more implementation work.</t>
        </is>
      </c>
    </row>
    <row r="17" ht="214.05" customHeight="1">
      <c r="A17" s="3" t="inlineStr">
        <is>
          <t>No CODACE business-cycle dating table — same class of gap as monetary policy's missing COPOM decision history</t>
        </is>
      </c>
      <c r="B17" s="3" t="n"/>
      <c r="C17" s="4" t="n"/>
      <c r="D17" s="4" t="inlineStr">
        <is>
          <t>High</t>
        </is>
      </c>
      <c r="E17" s="5" t="inlineStr">
        <is>
          <t>No</t>
        </is>
      </c>
      <c r="F17" s="3" t="inlineStr">
        <is>
          <t>8. Business cycle dating (CODACE)</t>
        </is>
      </c>
      <c r="G17" s="3" t="inlineStr">
        <is>
          <t>No table records Brazil's own business-cycle turning points. This is the direct analogue of the "no COPOM decision history table" gap already flagged in monetary_policy_data_inventory.md §1 — CODACE (FGV/IBRE's dating committee, cluster 6 of the bibliography) publishes peak/trough dates on an irregular basis, and nothing here captures them as discrete, queryable events. Impact: the agent can describe the current IBC-Br/GDP trend but can't answer "how does the current slowdown compare, in depth and duration, to the last N recessions" without manually looking up CODACE's own bulletins each time. Possible approach: a small codace_ciclos table — (data_pico, data_vale, duracao_contracao_meses, duracao_expansao_meses) — sourced by periodically checking CODACE's published chronology (ibre.fgv.br). No script built yet; low data volume (a handful of cycles since CODACE's chronology starts in the 1980s) makes this cheap once someone owns the periodic check.</t>
        </is>
      </c>
    </row>
    <row r="18" ht="214.05" customHeight="1">
      <c r="A18" s="3" t="inlineStr">
        <is>
          <t>No Brazilian TFP/productivity time series ingested — data exists (FGV/IBRE portal) but requires a scraper or manual re-entry</t>
        </is>
      </c>
      <c r="B18" s="3" t="n"/>
      <c r="C18" s="4" t="n"/>
      <c r="D18" s="4" t="inlineStr">
        <is>
          <t>Medium</t>
        </is>
      </c>
      <c r="E18" s="5" t="inlineStr">
        <is>
          <t>No</t>
        </is>
      </c>
      <c r="F18" s="3" t="inlineStr">
        <is>
          <t>7. Productivity and TFP</t>
        </is>
      </c>
      <c r="G18" s="3" t="inlineStr">
        <is>
          <t>economic_activity_bibliography_candidates.md cluster 9 identifies exactly where Brazilian productivity data lives: BCB's own labor-productivity study (Estudo Especial 27/2018) is a one-off report, not an ongoing series, and FGV/IBRE's own annual TFP series (Veloso, Matos &amp; Peruchetti, 2020a/b) is published on the Observatório da Produtividade Regis Bonelli (ibre.fgv.br/observatorio-produtividade) — a portal, not an SGS-style API. Impact: the agent cannot today track Brazilian TFP or labor productivity as a time series at all — every existing reference is a static report snapshot. Possible source: would require either (a) a lightweight scraper against the Observatório da Produtividade portal (structure and update cadence not yet investigated), or (b) manually re-entering the annual series from Veloso, Matos &amp; Peruchetti's published tables once that source is acquired and processed. Not yet scoped either way.</t>
        </is>
      </c>
    </row>
    <row r="19" ht="94.05" customHeight="1">
      <c r="A19" s="3" t="inlineStr">
        <is>
          <t>PMC and PMS limited to 2023 → today (script defaults) despite IBGE series going back much further</t>
        </is>
      </c>
      <c r="B19" s="3" t="n"/>
      <c r="C19" s="4" t="n"/>
      <c r="D19" s="4" t="inlineStr">
        <is>
          <t>Medium</t>
        </is>
      </c>
      <c r="E19" s="5" t="inlineStr">
        <is>
          <t>No</t>
        </is>
      </c>
      <c r="F19" s="3" t="inlineStr">
        <is>
          <t>4. Monthly retail trade (PMC)</t>
        </is>
      </c>
      <c r="G19" s="3" t="inlineStr">
        <is>
          <t>Script: domain/db/brasil/ibge/atv_pmc.py. IBGE aggregados 8880/8881/8883. Gap — short history: coverage per CLAUDE.md: 2023 → today only, driven by the script's years_back=3 default. IBGE's PMC series (both restricted and expanded) go back to the late 1990s/2000s depending on the exact series — a full backfill would materially improve this table's usefulness for anything beyond the most recent cycle.</t>
        </is>
      </c>
    </row>
    <row r="20" ht="64.05" customHeight="1">
      <c r="A20" s="3" t="inlineStr">
        <is>
          <t>No BCB Indicador de Condições Financeiras (ICF) or economic-policy-uncertainty index ingested</t>
        </is>
      </c>
      <c r="B20" s="3" t="n"/>
      <c r="C20" s="4" t="n"/>
      <c r="D20" s="4" t="inlineStr">
        <is>
          <t>Medium</t>
        </is>
      </c>
      <c r="E20" s="5" t="inlineStr">
        <is>
          <t>No</t>
        </is>
      </c>
      <c r="F20" s="3" t="inlineStr">
        <is>
          <t>9. Leading/coincident composite indicators and financial conditions</t>
        </is>
      </c>
      <c r="G20" s="3" t="inlineStr">
        <is>
          <t>No Indicador de Condições Financeiras (ICF) — BCB's own daily financial-conditions leading indicator (Estudo Especial 76/2020, 26 variables across 7 groups via PCA) is published but not stored anywhere in macro_brasil.</t>
        </is>
      </c>
    </row>
    <row r="21" ht="349.05" customHeight="1">
      <c r="A21" s="3" t="inlineStr">
        <is>
          <t>Vehicle sales/licensing (SGS 7384-7387) and vehicle-purchase credit (SGS 20673/25471/20728) not ingested — verified live codes, cheap to add, high-frequency consumer-durables leading indicator</t>
        </is>
      </c>
      <c r="B21" s="3" t="n"/>
      <c r="C21" s="4" t="n"/>
      <c r="D21" s="4" t="inlineStr">
        <is>
          <t>Medium</t>
        </is>
      </c>
      <c r="E21" s="5" t="inlineStr">
        <is>
          <t>No</t>
        </is>
      </c>
      <c r="F21" s="3" t="inlineStr">
        <is>
          <t>4a. Vehicle sales/licensing (Fenabrave via BCB SGS)</t>
        </is>
      </c>
      <c r="G21" s="3" t="inlineStr">
        <is>
          <t>A confirmed, currently-active family of BCB SGS series, sourced from Fenabrave (the dealer federation) and distinct from anything already in PMC — the veiculos_motocicletas_pecas segment in macro_brasil.atv_pmc §4 tracks retail revenue for vehicle dealers, while this family tracks actual unit sales volumes by vehicle type. Vehicle sales/licensing is one of the most-watched high-frequency consumer-durables activity signals in Brazil, comparable to auto sales data in the US — checked live against the BCB SGS API on 2026-07 and all four series are current through May 2026: Related, not yet ingested — vehicle-purchase credit (ties this section to §10's credit table): Concessões de crédito com recursos livres — Pessoas físicas — Aquisição de veículos (SGS 20673) and the corresponding average interest rates for individuals (SGS 25471) and legal entities (SGS 20728) — a directly relevant credit-conditions overlay for interpreting vehicle sales moves (are sales rising because of demand, or because auto-loan rates fell). Note on discontinued predecessor codes: SGS 1381 and 1385 (an older vehicle-sales series pair) return data only through December 2020 — superseded by the 7384-7387 family above; don't use them for new ingestion. Possible source: straightforward addition via the existing connectors/bcb.py SGS client, same pattern as atv_ibcbr.py or cred_credito_amplo.py — no new connector needed, just a new script (e.g. domain/db/brasil/bcb/vendas_veiculos.py) with these 7 codes (4 sales + 3 credit/rate).</t>
        </is>
      </c>
    </row>
    <row r="22" ht="94.05" customHeight="1">
      <c r="A22" s="3" t="inlineStr">
        <is>
          <t>GDP table defaults to 2016 → today despite Contas Nacionais Trimestrais data existing since 1996</t>
        </is>
      </c>
      <c r="B22" s="3" t="n"/>
      <c r="C22" s="4" t="n"/>
      <c r="D22" s="4" t="inlineStr">
        <is>
          <t>Low</t>
        </is>
      </c>
      <c r="E22" s="5" t="inlineStr">
        <is>
          <t>No</t>
        </is>
      </c>
      <c r="F22" s="3" t="inlineStr">
        <is>
          <t>1. Quarterly GDP (Contas Nacionais Trimestrais)</t>
        </is>
      </c>
      <c r="G22" s="3" t="inlineStr">
        <is>
          <t>Coverage per CLAUDE.md: 2016 → today. IBGE's own Contas Nacionais Trimestrais series goes back to 1996 — the ~2016 starting point is a script default (years_back), not a source limitation, so a full-history backfill (periodos="all") is a low-effort extension, same pattern as the ~36-month rolling windows flagged repeatedly in the other three inventories.</t>
        </is>
      </c>
    </row>
    <row r="23" ht="139.05" customHeight="1">
      <c r="A23" s="3" t="inlineStr">
        <is>
          <t>PIM ingests only the 3 top-level categories, not the use-based or CNAE-division breakdowns IBGE also publishes</t>
        </is>
      </c>
      <c r="B23" s="3" t="n"/>
      <c r="C23" s="4" t="n"/>
      <c r="D23" s="4" t="inlineStr">
        <is>
          <t>Low</t>
        </is>
      </c>
      <c r="E23" s="5" t="inlineStr">
        <is>
          <t>No</t>
        </is>
      </c>
      <c r="F23" s="3" t="inlineStr">
        <is>
          <t>3. Monthly industrial production (PIM)</t>
        </is>
      </c>
      <c r="G23" s="3" t="inlineStr">
        <is>
          <t>Script: domain/db/brasil/ibge/atv_pim.py. IBGE aggregado 8888. Gap: only the 3 highest-level categories are ingested — IBGE's PIM also publishes by broad sectoral/use-based category (capital goods, intermediate goods, durable/semi-durable/non-durable consumer goods) and by specific industrial sector (CNAE divisions), neither of which is captured here. This is the PIM-side equivalent of the disaggregation IPCA already has in the inflation agent's inventory — useful for identifying which part of industry is driving a given month's move, not just the aggregate.</t>
        </is>
      </c>
    </row>
    <row r="24" ht="64.05" customHeight="1">
      <c r="A24" s="3" t="inlineStr">
        <is>
          <t>No credit impulse measure computed from the raw cred_credito_amplo series</t>
        </is>
      </c>
      <c r="B24" s="3" t="n"/>
      <c r="C24" s="4" t="n"/>
      <c r="D24" s="4" t="inlineStr">
        <is>
          <t>Low</t>
        </is>
      </c>
      <c r="E24" s="5" t="inlineStr">
        <is>
          <t>No</t>
        </is>
      </c>
      <c r="F24" s="3" t="inlineStr">
        <is>
          <t>10. Credit (activity/financial-conditions input, owned but cross-referenced)</t>
        </is>
      </c>
      <c r="G24" s="3" t="inlineStr">
        <is>
          <t>Gap: no credit impulse measure computed (the change in new credit flow as a share of GDP, the standard "credit impulse" concept from the financial-accelerator literature already in monetary policy's bibliography) — only the raw stock/flow series exist today.</t>
        </is>
      </c>
    </row>
    <row r="25" ht="34.05" customHeight="1">
      <c r="A25" s="3" t="inlineStr">
        <is>
          <t>No replication of the Duarte-Issler-Spacov coincident/leading index methodology</t>
        </is>
      </c>
      <c r="B25" s="3" t="n"/>
      <c r="C25" s="4" t="n"/>
      <c r="D25" s="4" t="inlineStr">
        <is>
          <t>Low</t>
        </is>
      </c>
      <c r="E25" s="5" t="inlineStr">
        <is>
          <t>No</t>
        </is>
      </c>
      <c r="F25" s="3" t="inlineStr">
        <is>
          <t>9. Leading/coincident composite indicators and financial conditions</t>
        </is>
      </c>
      <c r="G25" s="3" t="inlineStr">
        <is>
          <t>No replication of the Duarte-Issler-Spacov (2004) coincident/leading index methodology.</t>
        </is>
      </c>
    </row>
    <row r="26" ht="49.05" customHeight="1">
      <c r="A26" s="3" t="inlineStr">
        <is>
          <t>No economic policy uncertainty index for Brazil (Estudo Especial 65/2019's Baker-Bloom-Davis-style methodology)</t>
        </is>
      </c>
      <c r="B26" s="3" t="n"/>
      <c r="C26" s="4" t="n"/>
      <c r="D26" s="4" t="n"/>
      <c r="E26" s="5" t="inlineStr">
        <is>
          <t>No</t>
        </is>
      </c>
      <c r="F26" s="3" t="inlineStr">
        <is>
          <t>9. Leading/coincident composite indicators and financial conditions</t>
        </is>
      </c>
      <c r="G26" s="3" t="inlineStr">
        <is>
          <t>No economic policy uncertainty index for Brazil (Estudo Especial 65/2019's Baker-Bloom-Davis-style methodology) — not ingested.</t>
        </is>
      </c>
    </row>
    <row r="27" ht="94.05" customHeight="1">
      <c r="A27" s="3" t="inlineStr">
        <is>
          <t>Hours worked / employment-rate / participation-rate decomposition — the "hours worked" half of the standard potential-gr</t>
        </is>
      </c>
      <c r="B27" s="3" t="n"/>
      <c r="C27" s="4" t="n"/>
      <c r="D27" s="4" t="n"/>
      <c r="E27" s="8" t="inlineStr">
        <is>
          <t>Needs agent</t>
        </is>
      </c>
      <c r="F27" s="3" t="inlineStr">
        <is>
          <t>Tier 2 — From a future labor market agent (the split the user is actively considering)</t>
        </is>
      </c>
      <c r="G27" s="3" t="inlineStr">
        <is>
          <t>Hours worked / employment-rate / participation-rate decomposition — the "hours worked" half of the standard potential-growth decomposition (potential growth = labor productivity growth + hours-worked growth) referenced in BCB's own June 2024 RPM chapter on growth projections. Without this, cluster 9's productivity work (§7) can be computed but can't be combined into a full potential-growth read.</t>
        </is>
      </c>
    </row>
    <row r="28" ht="49.05" customHeight="1">
      <c r="A28" s="3" t="inlineStr">
        <is>
          <t>Unemployment gap / NAIRU-type estimate — the labor-market-side companion to this agent's own output gap</t>
        </is>
      </c>
      <c r="B28" s="3" t="n"/>
      <c r="C28" s="4" t="n"/>
      <c r="D28" s="4" t="n"/>
      <c r="E28" s="8" t="inlineStr">
        <is>
          <t>Needs agent</t>
        </is>
      </c>
      <c r="F28" s="3" t="inlineStr">
        <is>
          <t>Tier 2 — From a future labor market agent (the split the user is actively considering)</t>
        </is>
      </c>
      <c r="G28" s="3" t="inlineStr">
        <is>
          <t>Unemployment gap / NAIRU-type estimate — the labor-market-side companion to this agent's own output gap (§6); the two are usually estimated jointly or at least cross-checked against each other.</t>
        </is>
      </c>
    </row>
    <row r="29" ht="79.05" customHeight="1">
      <c r="A29" s="3" t="inlineStr">
        <is>
          <t>Wage growth and wage bill — already sitting in macro_brasil.mt_pnad today</t>
        </is>
      </c>
      <c r="B29" s="3" t="n"/>
      <c r="C29" s="4" t="n"/>
      <c r="D29" s="4" t="n"/>
      <c r="E29" s="8" t="inlineStr">
        <is>
          <t>Needs agent</t>
        </is>
      </c>
      <c r="F29" s="3" t="inlineStr">
        <is>
          <t>Tier 2 — From a future labor market agent (the split the user is actively considering)</t>
        </is>
      </c>
      <c r="G29" s="3" t="inlineStr">
        <is>
          <t>Wage growth and wage bill — already sitting in macro_brasil.mt_pnad today (per inflation_data_inventory.md §6, which documents the same table from the wage-price-spiral angle) — usable by this agent too without new ingestion, once formally scoped as a labor-agent-owned, activity-agent-consumed series.</t>
        </is>
      </c>
    </row>
    <row r="30" ht="79.05" customHeight="1">
      <c r="A30" s="3" t="inlineStr">
        <is>
          <t>Government investment execution pace and fiscal impulse — needed to properly interpret the consumo_adm_publica and publi</t>
        </is>
      </c>
      <c r="B30" s="3" t="n"/>
      <c r="C30" s="4" t="n"/>
      <c r="D30" s="4" t="n"/>
      <c r="E30" s="8" t="inlineStr">
        <is>
          <t>Needs agent</t>
        </is>
      </c>
      <c r="F30" s="3" t="inlineStr">
        <is>
          <t>Tier 2 — From a future fiscal agent</t>
        </is>
      </c>
      <c r="G30" s="3" t="inlineStr">
        <is>
          <t>Government investment execution pace and fiscal impulse — needed to properly interpret the consumo_adm_publica and public-investment components already owned in macro_brasil.atv_pib §1; today those series exist but there's no read on whether a given move is discretionary policy or automatic/base-effect.</t>
        </is>
      </c>
    </row>
    <row r="31" ht="94.05" customHeight="1">
      <c r="A31" s="3" t="inlineStr">
        <is>
          <t>REER</t>
        </is>
      </c>
      <c r="B31" s="3" t="n"/>
      <c r="C31" s="4" t="n"/>
      <c r="D31" s="4" t="n"/>
      <c r="E31" s="8" t="inlineStr">
        <is>
          <t>Needs agent</t>
        </is>
      </c>
      <c r="F31" s="3" t="inlineStr">
        <is>
          <t>Tier 2 — From the exchange rate agent (substantially built already)</t>
        </is>
      </c>
      <c r="G31" s="3" t="inlineStr">
        <is>
          <t>REER (macro_international.cmb_reer) and terms of trade (macro_brasil.cmb_termos_troca) already exist and are directly usable for bibliography cluster 8's Dutch-disease/commodity-cycle work without waiting on any new agent — flagged here only so the cross-reference is explicit, mirroring how inflation_data_inventory.md treats the same two tables.</t>
        </is>
      </c>
    </row>
    <row r="32" ht="64.05" customHeight="1">
      <c r="A32" s="3" t="inlineStr">
        <is>
          <t>Commodity price indices — same gap already flagged in inflation_data_inventory.md's Tier 2 section; relevant here for th</t>
        </is>
      </c>
      <c r="B32" s="3" t="n"/>
      <c r="C32" s="4" t="n"/>
      <c r="D32" s="4" t="n"/>
      <c r="E32" s="8" t="inlineStr">
        <is>
          <t>Needs agent</t>
        </is>
      </c>
      <c r="F32" s="3" t="inlineStr">
        <is>
          <t>Tier 2 — From a possible future global/markets agent (not yet scoped at all)</t>
        </is>
      </c>
      <c r="G32" s="3" t="inlineStr">
        <is>
          <t>Commodity price indices — same gap already flagged in inflation_data_inventory.md's Tier 2 section; relevant here for the Fernández-Schmitt-Grohé-Uribe (2017) "how much of the cycle is the world commodity cycle" framework in bibliography cluster 8.</t>
        </is>
      </c>
    </row>
    <row r="33" ht="49.05" customHeight="1">
      <c r="A33" s="3" t="inlineStr">
        <is>
          <t>A common World/EM business-cycle factor</t>
        </is>
      </c>
      <c r="B33" s="3" t="n"/>
      <c r="C33" s="4" t="n"/>
      <c r="D33" s="4" t="n"/>
      <c r="E33" s="8" t="inlineStr">
        <is>
          <t>Needs agent</t>
        </is>
      </c>
      <c r="F33" s="3" t="inlineStr">
        <is>
          <t>Tier 2 — From a possible future global/markets agent (not yet scoped at all)</t>
        </is>
      </c>
      <c r="G33" s="3" t="inlineStr">
        <is>
          <t>A common World/EM business-cycle factor (à la Fernández, Schmitt-Grohé &amp; Uribe) — no domestic or international proxy exists in the database today.</t>
        </is>
      </c>
    </row>
  </sheetData>
  <autoFilter ref="A1:G33"/>
  <pageMargins left="0.75" right="0.75" top="1" bottom="1" header="0.5" footer="0.5"/>
</worksheet>
</file>

<file path=xl/worksheets/sheet9.xml><?xml version="1.0" encoding="utf-8"?>
<worksheet xmlns="http://schemas.openxmlformats.org/spreadsheetml/2006/main">
  <sheetPr>
    <tabColor rgb="FF1F2853"/>
    <outlinePr summaryBelow="1" summaryRight="1"/>
    <pageSetUpPr/>
  </sheetPr>
  <dimension ref="A1:P21"/>
  <sheetViews>
    <sheetView showGridLines="0" topLeftCell="G1" zoomScale="85" zoomScaleNormal="85" workbookViewId="0">
      <pane ySplit="1" topLeftCell="A16" activePane="bottomLeft" state="frozen"/>
      <selection pane="bottomLeft" activeCell="K21" sqref="K21"/>
    </sheetView>
  </sheetViews>
  <sheetFormatPr baseColWidth="8" defaultRowHeight="14.4"/>
  <cols>
    <col width="42" customWidth="1" min="1" max="1"/>
    <col width="28" customWidth="1" min="2" max="2"/>
    <col width="12" customWidth="1" min="3" max="3"/>
    <col width="10" customWidth="1" min="4" max="4"/>
    <col width="13" customWidth="1" min="5" max="5"/>
    <col width="20" customWidth="1" min="6" max="6"/>
    <col width="22" customWidth="1" min="7" max="7"/>
    <col width="5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79.05" customHeight="1">
      <c r="A2" s="3" t="inlineStr">
        <is>
          <t>The 'Burden of the Debt' and the National Income</t>
        </is>
      </c>
      <c r="B2" s="3" t="inlineStr">
        <is>
          <t>Domar, E.</t>
        </is>
      </c>
      <c r="C2" s="4" t="inlineStr">
        <is>
          <t>1944</t>
        </is>
      </c>
      <c r="D2" s="4" t="n">
        <v>5</v>
      </c>
      <c r="E2" s="5" t="inlineStr">
        <is>
          <t>No</t>
        </is>
      </c>
      <c r="F2" s="3" t="inlineStr">
        <is>
          <t>Paper</t>
        </is>
      </c>
      <c r="G2" s="3" t="inlineStr">
        <is>
          <t>#public_debt_sustainability_and_dynamics</t>
        </is>
      </c>
      <c r="H2" s="3" t="inlineStr">
        <is>
          <t>The founding debt-sustainability arithmetic — shows that whether debt-to-GDP stabilizes or explodes depends on the relationship between the interest rate, the growth rate, and the primary balance (the "r vs. g" comparison every later debt-sustainability discussion, including Blanchard 2019 below, still uses)</t>
        </is>
      </c>
      <c r="I2" s="3" t="inlineStr">
        <is>
          <t>Suggested file: burden_of_the_debt (Domar, 1944).pdf</t>
        </is>
      </c>
      <c r="J2" s="51" t="n"/>
      <c r="K2" s="52" t="n"/>
      <c r="L2" s="52" t="n"/>
      <c r="M2" s="51" t="n"/>
      <c r="N2" s="51" t="n"/>
      <c r="O2" s="52" t="n"/>
      <c r="P2" s="51" t="n"/>
    </row>
    <row r="3" ht="94.05" customHeight="1">
      <c r="A3" s="3" t="inlineStr">
        <is>
          <t>The Behavior of U.S. Public Debt and Deficits</t>
        </is>
      </c>
      <c r="B3" s="3" t="inlineStr">
        <is>
          <t>Bohn, H.</t>
        </is>
      </c>
      <c r="C3" s="4" t="inlineStr">
        <is>
          <t>1998</t>
        </is>
      </c>
      <c r="D3" s="4" t="n">
        <v>5</v>
      </c>
      <c r="E3" s="5" t="inlineStr">
        <is>
          <t>No</t>
        </is>
      </c>
      <c r="F3" s="3" t="inlineStr">
        <is>
          <t>Paper</t>
        </is>
      </c>
      <c r="G3" s="3" t="inlineStr">
        <is>
          <t>#public_debt_sustainability_and_dynamics</t>
        </is>
      </c>
      <c r="H3" s="3" t="inlineStr">
        <is>
          <t>The standard empirical test for fiscal sustainability — does the primary balance respond positively to the debt level (a "fiscal reaction function")? This test, or a close variant, is the workhorse approach for asking "is a given country's fiscal stance sustainable" empirically rather than just via the r-vs-g arithmetic</t>
        </is>
      </c>
      <c r="I3" s="3" t="inlineStr">
        <is>
          <t>Suggested file: behavior_us_public_debt_deficits (Bohn, 1998).pdf</t>
        </is>
      </c>
      <c r="J3" s="51" t="n"/>
      <c r="K3" s="52" t="n"/>
      <c r="L3" s="52" t="n"/>
      <c r="M3" s="51" t="n"/>
      <c r="N3" s="51" t="n"/>
      <c r="O3" s="52" t="n"/>
      <c r="P3" s="51" t="n"/>
    </row>
    <row r="4" ht="124.05" customHeight="1">
      <c r="A4" s="3" t="inlineStr">
        <is>
          <t>Public Debt and Low Interest Rates</t>
        </is>
      </c>
      <c r="B4" s="3" t="inlineStr">
        <is>
          <t>Blanchard, O.</t>
        </is>
      </c>
      <c r="C4" s="4" t="inlineStr">
        <is>
          <t>2019</t>
        </is>
      </c>
      <c r="D4" s="4" t="n">
        <v>5</v>
      </c>
      <c r="E4" s="5" t="inlineStr">
        <is>
          <t>No</t>
        </is>
      </c>
      <c r="F4" s="3" t="inlineStr">
        <is>
          <t>Paper</t>
        </is>
      </c>
      <c r="G4" s="3" t="inlineStr">
        <is>
          <t>#public_debt_sustainability_and_dynamics</t>
        </is>
      </c>
      <c r="H4" s="3" t="inlineStr">
        <is>
          <t>The most influential recent re-litigation of whether high public debt is dangerous — argues that when safe rates run persistently below growth (r &lt; g), debt rollover without future tax increases is feasible and may carry no fiscal cost, while still flagging welfare costs from reduced capital accumulation and multiple-equilibria risk (investors believing debt is risky can make it so). Essential background for reading any "is Brazil's debt sustainable" argument that invokes r vs. g</t>
        </is>
      </c>
      <c r="I4" s="3" t="inlineStr">
        <is>
          <t>Suggested file: public_debt_low_interest_rates (Blanchard, 2019).pdf</t>
        </is>
      </c>
      <c r="J4" s="51" t="n"/>
      <c r="K4" s="52" t="n"/>
      <c r="L4" s="52" t="n"/>
      <c r="M4" s="51" t="n"/>
      <c r="N4" s="51" t="n"/>
      <c r="O4" s="52" t="n"/>
      <c r="P4" s="51" t="n"/>
    </row>
    <row r="5" ht="64.05" customHeight="1">
      <c r="A5" s="3" t="inlineStr">
        <is>
          <t>An Empirical Characterization of the Dynamic Effects of Changes in Government Spending and Taxes on Output</t>
        </is>
      </c>
      <c r="B5" s="3" t="inlineStr">
        <is>
          <t>Blanchard, O. &amp; Perotti, R.</t>
        </is>
      </c>
      <c r="C5" s="4" t="inlineStr">
        <is>
          <t>2002</t>
        </is>
      </c>
      <c r="D5" s="4" t="n">
        <v>5</v>
      </c>
      <c r="E5" s="5" t="inlineStr">
        <is>
          <t>No</t>
        </is>
      </c>
      <c r="F5" s="3" t="inlineStr">
        <is>
          <t>Paper</t>
        </is>
      </c>
      <c r="G5" s="3" t="inlineStr">
        <is>
          <t>#fiscal_multipliers</t>
        </is>
      </c>
      <c r="H5" s="3" t="inlineStr">
        <is>
          <t>The standard modern empirical identification strategy for fiscal shocks (SVAR with institutional/timing restrictions) — the direct methodological ancestor of almost every later fiscal multiplier estimate, including for Brazil</t>
        </is>
      </c>
      <c r="I5" s="3" t="inlineStr">
        <is>
          <t>Suggested file: empirical_characterization_fiscal_shocks (Blanchard &amp; Perotti, 2002).pdf</t>
        </is>
      </c>
      <c r="J5" s="51" t="n"/>
      <c r="K5" s="52" t="n"/>
      <c r="L5" s="52" t="n"/>
      <c r="M5" s="51" t="n"/>
      <c r="N5" s="51" t="n"/>
      <c r="O5" s="52" t="n"/>
      <c r="P5" s="51" t="n"/>
    </row>
    <row r="6" ht="64.05" customHeight="1">
      <c r="A6" s="3" t="inlineStr">
        <is>
          <t>Can Government Purchases Stimulate the Economy?</t>
        </is>
      </c>
      <c r="B6" s="3" t="inlineStr">
        <is>
          <t>Ramey, V.</t>
        </is>
      </c>
      <c r="C6" s="4" t="inlineStr">
        <is>
          <t>2011</t>
        </is>
      </c>
      <c r="D6" s="4" t="n">
        <v>5</v>
      </c>
      <c r="E6" s="5" t="inlineStr">
        <is>
          <t>No</t>
        </is>
      </c>
      <c r="F6" s="3" t="inlineStr">
        <is>
          <t>Paper</t>
        </is>
      </c>
      <c r="G6" s="3" t="inlineStr">
        <is>
          <t>#fiscal_multipliers</t>
        </is>
      </c>
      <c r="H6" s="3" t="inlineStr">
        <is>
          <t>The definitive survey of the multiplier debate post-2008 — surveys the wide range of multiplier estimates across methodologies and explains why they differ so much, essential context before citing any single multiplier number</t>
        </is>
      </c>
      <c r="I6" s="3" t="inlineStr">
        <is>
          <t>Suggested file: can_government_purchases_stimulate_economy (Ramey, 2011).pdf</t>
        </is>
      </c>
      <c r="J6" s="51" t="n"/>
      <c r="K6" s="52" t="n"/>
      <c r="L6" s="52" t="n"/>
      <c r="M6" s="51" t="n"/>
      <c r="N6" s="51" t="n"/>
      <c r="O6" s="52" t="n"/>
      <c r="P6" s="51" t="n"/>
    </row>
    <row r="7" ht="79.05" customHeight="1">
      <c r="A7" s="3" t="inlineStr">
        <is>
          <t>Measuring the Output Responses to Fiscal Policy</t>
        </is>
      </c>
      <c r="B7" s="3" t="inlineStr">
        <is>
          <t>Auerbach, A. &amp; Gorodnichenko, Y.</t>
        </is>
      </c>
      <c r="C7" s="4" t="inlineStr">
        <is>
          <t>2012</t>
        </is>
      </c>
      <c r="D7" s="4" t="n">
        <v>5</v>
      </c>
      <c r="E7" s="5" t="inlineStr">
        <is>
          <t>No</t>
        </is>
      </c>
      <c r="F7" s="3" t="inlineStr">
        <is>
          <t>Paper</t>
        </is>
      </c>
      <c r="G7" s="3" t="inlineStr">
        <is>
          <t>#fiscal_multipliers</t>
        </is>
      </c>
      <c r="H7" s="3" t="inlineStr">
        <is>
          <t>Shows fiscal multipliers are state-dependent — much larger during recessions/output-gap-negative periods than expansions — directly linking multiplier size to the output-gap measurement economic activity's bibliography owns, and a first-order consideration for judging any Brazilian fiscal-stimulus-timing debate</t>
        </is>
      </c>
      <c r="I7" s="3" t="inlineStr">
        <is>
          <t>Suggested file: measuring_output_responses_fiscal_policy (Auerbach &amp; Gorodnichenko, 2012).pdf</t>
        </is>
      </c>
      <c r="J7" s="51" t="n"/>
      <c r="K7" s="52" t="n"/>
      <c r="L7" s="52" t="n"/>
      <c r="M7" s="51" t="n"/>
      <c r="N7" s="51" t="n"/>
      <c r="O7" s="52" t="n"/>
      <c r="P7" s="51" t="n"/>
    </row>
    <row r="8" ht="79.05" customHeight="1">
      <c r="A8" s="3" t="inlineStr">
        <is>
          <t>Fiscal Policy Rules</t>
        </is>
      </c>
      <c r="B8" s="3" t="inlineStr">
        <is>
          <t>Kopits, G. &amp; Symansky, S.</t>
        </is>
      </c>
      <c r="C8" s="4" t="inlineStr">
        <is>
          <t>1998</t>
        </is>
      </c>
      <c r="D8" s="4" t="n">
        <v>5</v>
      </c>
      <c r="E8" s="5" t="inlineStr">
        <is>
          <t>No</t>
        </is>
      </c>
      <c r="F8" s="3" t="inlineStr">
        <is>
          <t>Paper</t>
        </is>
      </c>
      <c r="G8" s="3" t="inlineStr">
        <is>
          <t>#fiscal_rules_and_institutions</t>
        </is>
      </c>
      <c r="H8" s="3" t="inlineStr">
        <is>
          <t>The foundational typology of fiscal rules (balanced-budget rules, debt rules, expenditure rules, revenue rules) and the design criteria (well-defined, transparent, adequate, consistent, simple, flexible, enforceable) still used to evaluate any specific country's rule, including Brazil's own</t>
        </is>
      </c>
      <c r="I8" s="3" t="inlineStr">
        <is>
          <t>Suggested file: fiscal_policy_rules_typology (Kopits &amp; Symansky, 1998).pdf</t>
        </is>
      </c>
      <c r="J8" s="51" t="n"/>
      <c r="K8" s="52" t="n"/>
      <c r="L8" s="52" t="n"/>
      <c r="M8" s="51" t="n"/>
      <c r="N8" s="51" t="n"/>
      <c r="O8" s="52" t="n"/>
      <c r="P8" s="51" t="n"/>
    </row>
    <row r="9" ht="94.05" customHeight="1">
      <c r="A9" s="3" t="inlineStr">
        <is>
          <t>Lei Complementar no 101/2000 (Lei de Responsabilidade Fiscal - LRF)</t>
        </is>
      </c>
      <c r="B9" s="3" t="inlineStr">
        <is>
          <t>Brasil</t>
        </is>
      </c>
      <c r="C9" s="4" t="inlineStr">
        <is>
          <t>2000</t>
        </is>
      </c>
      <c r="D9" s="4" t="n">
        <v>5</v>
      </c>
      <c r="E9" s="5" t="inlineStr">
        <is>
          <t>No</t>
        </is>
      </c>
      <c r="F9" s="3" t="inlineStr">
        <is>
          <t>Primary legal source</t>
        </is>
      </c>
      <c r="G9" s="3" t="inlineStr">
        <is>
          <t>#fiscal_rules_and_institutions</t>
        </is>
      </c>
      <c r="H9" s="3" t="inlineStr">
        <is>
          <t>Brazil's founding fiscal-institutions law — spending limits, debt limits, and transparency/reporting requirements binding on all three levels of government (Union, states, municipalities). The essential institutional backdrop for cluster 6's subnational debt material and for reading any Brazilian fiscal-rule compliance discussion since 2000</t>
        </is>
      </c>
      <c r="I9" s="3" t="inlineStr">
        <is>
          <t>Suggested file: lei_responsabilidade_fiscal (Brasil, 2000).pdf</t>
        </is>
      </c>
      <c r="J9" s="51" t="n"/>
      <c r="K9" s="52" t="n"/>
      <c r="L9" s="52" t="n"/>
      <c r="M9" s="51" t="n"/>
      <c r="N9" s="51" t="n"/>
      <c r="O9" s="52" t="n"/>
      <c r="P9" s="51" t="n"/>
    </row>
    <row r="10" ht="79.05" customHeight="1">
      <c r="A10" s="3" t="inlineStr">
        <is>
          <t>Emenda Constitucional no 95/2016 (Novo Regime Fiscal - 'Teto de Gastos')</t>
        </is>
      </c>
      <c r="B10" s="3" t="inlineStr">
        <is>
          <t>Brasil</t>
        </is>
      </c>
      <c r="C10" s="4" t="inlineStr">
        <is>
          <t>2016</t>
        </is>
      </c>
      <c r="D10" s="4" t="n">
        <v>5</v>
      </c>
      <c r="E10" s="5" t="inlineStr">
        <is>
          <t>No</t>
        </is>
      </c>
      <c r="F10" s="3" t="inlineStr">
        <is>
          <t>Primary legal source</t>
        </is>
      </c>
      <c r="G10" s="3" t="inlineStr">
        <is>
          <t>#fiscal_rules_and_institutions</t>
        </is>
      </c>
      <c r="H10" s="3" t="inlineStr">
        <is>
          <t>The constitutional spending cap that governed federal fiscal policy from 2017 until its 2023 replacement — capped real primary expenditure growth near zero, became the dominant fiscal-anchor framing (and the dominant target of criticism) for that period</t>
        </is>
      </c>
      <c r="I10" s="3" t="inlineStr">
        <is>
          <t>Suggested file: teto_de_gastos_ec95 (Brasil, 2016).pdf</t>
        </is>
      </c>
      <c r="J10" s="51" t="n"/>
      <c r="K10" s="52" t="n"/>
      <c r="L10" s="52" t="n"/>
      <c r="M10" s="51" t="n"/>
      <c r="N10" s="51" t="n"/>
      <c r="O10" s="52" t="n"/>
      <c r="P10" s="51" t="n"/>
    </row>
    <row r="11" ht="79.05" customHeight="1">
      <c r="A11" s="3" t="inlineStr">
        <is>
          <t>Lei Complementar no 200/2023 (Novo Arcabouco Fiscal)</t>
        </is>
      </c>
      <c r="B11" s="3" t="inlineStr">
        <is>
          <t>Brasil</t>
        </is>
      </c>
      <c r="C11" s="4" t="inlineStr">
        <is>
          <t>2023</t>
        </is>
      </c>
      <c r="D11" s="4" t="n">
        <v>5</v>
      </c>
      <c r="E11" s="5" t="inlineStr">
        <is>
          <t>No</t>
        </is>
      </c>
      <c r="F11" s="3" t="inlineStr">
        <is>
          <t>Primary legal source</t>
        </is>
      </c>
      <c r="G11" s="3" t="inlineStr">
        <is>
          <t>#fiscal_rules_and_institutions</t>
        </is>
      </c>
      <c r="H11" s="3" t="inlineStr">
        <is>
          <t>The spending cap's replacement — combines a real-expenditure-growth band (0.6%-2.5%/year) with an annually-set primary-result target defined in the budget guidelines law (LDO), a materially different design logic (band + target vs. Teto de Gastos's near-fixed ceiling)</t>
        </is>
      </c>
      <c r="I11" s="3" t="inlineStr">
        <is>
          <t>Suggested file: novo_arcabouco_fiscal_lc200 (Brasil, 2023).pdf</t>
        </is>
      </c>
      <c r="J11" s="51" t="n"/>
      <c r="K11" s="52" t="n"/>
      <c r="L11" s="52" t="n"/>
      <c r="M11" s="51" t="n"/>
      <c r="N11" s="51" t="n"/>
      <c r="O11" s="52" t="n"/>
      <c r="P11" s="51" t="n"/>
    </row>
    <row r="12" ht="109.05" customHeight="1">
      <c r="A12" s="3" t="inlineStr">
        <is>
          <t>Novo Arcabouco Tenta Equilibrar Sustentabilidade Fiscal e Racionalidade Tributaria</t>
        </is>
      </c>
      <c r="B12" s="3" t="inlineStr">
        <is>
          <t>Instituto Brasileiro de Economia (IBRE/FGV)</t>
        </is>
      </c>
      <c r="C12" s="4" t="inlineStr">
        <is>
          <t>2023</t>
        </is>
      </c>
      <c r="D12" s="4" t="n">
        <v>3</v>
      </c>
      <c r="E12" s="5" t="inlineStr">
        <is>
          <t>No</t>
        </is>
      </c>
      <c r="F12" s="3" t="inlineStr">
        <is>
          <t>Paper (institutional commentary)</t>
        </is>
      </c>
      <c r="G12" s="3" t="inlineStr">
        <is>
          <t>#fiscal_rules_and_institutions</t>
        </is>
      </c>
      <c r="H12" s="3" t="inlineStr">
        <is>
          <t>Contemporary independent assessment of the new framework's design tradeoffs — individual author not identified in this pass (published as an institutional "Carta do IBRE," not individually bylined); useful as a practitioner-level complement to the primary legal text above, not a substitute for a peer-reviewed academic assessment, which hasn't been identified yet given the framework's recency</t>
        </is>
      </c>
      <c r="I12" s="3" t="inlineStr">
        <is>
          <t>Suggested file: novo_arcabouco_avaliacao_ibre (IBRE/FGV, 2023).pdf</t>
        </is>
      </c>
      <c r="J12" s="51" t="n"/>
      <c r="K12" s="52" t="n"/>
      <c r="L12" s="52" t="n"/>
      <c r="M12" s="51" t="n"/>
      <c r="N12" s="51" t="n"/>
      <c r="O12" s="52" t="n"/>
      <c r="P12" s="51" t="n"/>
    </row>
    <row r="13" ht="124.05" customHeight="1">
      <c r="A13" s="3" t="inlineStr">
        <is>
          <t>Debt Intolerance</t>
        </is>
      </c>
      <c r="B13" s="3" t="inlineStr">
        <is>
          <t>Reinhart, C., Rogoff, K. &amp; Savastano, M.</t>
        </is>
      </c>
      <c r="C13" s="4" t="inlineStr">
        <is>
          <t>2003</t>
        </is>
      </c>
      <c r="D13" s="4" t="n">
        <v>5</v>
      </c>
      <c r="E13" s="5" t="inlineStr">
        <is>
          <t>No</t>
        </is>
      </c>
      <c r="F13" s="3" t="inlineStr">
        <is>
          <t>Paper</t>
        </is>
      </c>
      <c r="G13" s="3" t="inlineStr">
        <is>
          <t>#fiscal_capacity_debt_intolerance_and_dominance</t>
        </is>
      </c>
      <c r="H13" s="3" t="inlineStr">
        <is>
          <t>The founding statement of "debt intolerance" — many emerging markets face default risk and loss of market access at debt-to-GDP levels far below what advanced economies routinely sustain, because of a history of default and weaker institutional credibility, not the debt ratio alone. Essential framing for any argument about "how much debt can Brazil actually carry" that isn't just Domar/Blanchard arithmetic transplanted from a reserve-currency context</t>
        </is>
      </c>
      <c r="I13" s="3" t="inlineStr">
        <is>
          <t>Suggested file: debt_intolerance (Reinhart, Rogoff &amp; Savastano, 2003).pdf</t>
        </is>
      </c>
      <c r="J13" s="51" t="n"/>
      <c r="K13" s="52" t="n"/>
      <c r="L13" s="52" t="n"/>
      <c r="M13" s="51" t="n"/>
      <c r="N13" s="51" t="n"/>
      <c r="O13" s="52" t="n"/>
      <c r="P13" s="51" t="n"/>
    </row>
    <row r="14" ht="109.05" customHeight="1">
      <c r="A14" s="3" t="inlineStr">
        <is>
          <t>Reforming Pensions: Principles and Policy Choices</t>
        </is>
      </c>
      <c r="B14" s="3" t="inlineStr">
        <is>
          <t>Barr, N. &amp; Diamond, P.</t>
        </is>
      </c>
      <c r="C14" s="4" t="inlineStr">
        <is>
          <t>2009</t>
        </is>
      </c>
      <c r="D14" s="4" t="n">
        <v>5</v>
      </c>
      <c r="E14" s="5" t="inlineStr">
        <is>
          <t>No</t>
        </is>
      </c>
      <c r="F14" s="3" t="inlineStr">
        <is>
          <t>Book</t>
        </is>
      </c>
      <c r="G14" s="3" t="inlineStr">
        <is>
          <t>#pension_and_social_security_reform</t>
        </is>
      </c>
      <c r="H14" s="3" t="inlineStr">
        <is>
          <t>The standard modern synthesis of pension-design economics (pay-as-you-go vs. funded, defined-benefit vs. defined-contribution, the demographic-transition problem) by two of the field's leading figures — supersedes the World Bank's more mechanically multi-pillar-prescriptive 1994 report as the reference to actually cite. Recommended: the introductory principles chapter plus the chapter on transition/reform design</t>
        </is>
      </c>
      <c r="I14" s="3" t="inlineStr">
        <is>
          <t>Suggested file: reforming_pensions_selected_chapters (Barr &amp; Diamond, 2009).pdf</t>
        </is>
      </c>
      <c r="J14" s="51" t="n"/>
      <c r="K14" s="52" t="n"/>
      <c r="L14" s="52" t="n"/>
      <c r="M14" s="51" t="n"/>
      <c r="N14" s="51" t="n"/>
      <c r="O14" s="52" t="n"/>
      <c r="P14" s="51" t="n"/>
    </row>
    <row r="15" ht="79.05" customHeight="1">
      <c r="A15" s="3" t="inlineStr">
        <is>
          <t>Emenda Constitucional no 103/2019 (Reforma da Previdencia)</t>
        </is>
      </c>
      <c r="B15" s="3" t="inlineStr">
        <is>
          <t>Brasil</t>
        </is>
      </c>
      <c r="C15" s="4" t="inlineStr">
        <is>
          <t>2019</t>
        </is>
      </c>
      <c r="D15" s="4" t="n">
        <v>5</v>
      </c>
      <c r="E15" s="5" t="inlineStr">
        <is>
          <t>No</t>
        </is>
      </c>
      <c r="F15" s="3" t="inlineStr">
        <is>
          <t>Primary legal source</t>
        </is>
      </c>
      <c r="G15" s="3" t="inlineStr">
        <is>
          <t>#pension_and_social_security_reform</t>
        </is>
      </c>
      <c r="H15" s="3" t="inlineStr">
        <is>
          <t>The 2019 pension reform itself — introduced minimum retirement ages (previously time-of-contribution-only rules for many workers), transition rules, and changes to benefit calculation, aimed directly at reducing the actuarial deficit already running in the tens of billions of reais</t>
        </is>
      </c>
      <c r="I15" s="3" t="inlineStr">
        <is>
          <t>Suggested file: reforma_previdencia_ec103 (Brasil, 2019).pdf</t>
        </is>
      </c>
      <c r="J15" s="51" t="n"/>
      <c r="K15" s="52" t="n"/>
      <c r="L15" s="52" t="n"/>
      <c r="M15" s="51" t="n"/>
      <c r="N15" s="51" t="n"/>
      <c r="O15" s="52" t="n"/>
      <c r="P15" s="51" t="n"/>
    </row>
    <row r="16" ht="94.05" customHeight="1">
      <c r="A16" s="3" t="inlineStr">
        <is>
          <t>Reforma da Previdencia Social (in Desafios da Nacao: Artigos de Apoio, Vol. 2, Ch. 20)</t>
        </is>
      </c>
      <c r="B16" s="3" t="inlineStr">
        <is>
          <t>Costanzi, R.N.</t>
        </is>
      </c>
      <c r="C16" s="4" t="inlineStr">
        <is>
          <t>n/a</t>
        </is>
      </c>
      <c r="D16" s="4" t="n">
        <v>4</v>
      </c>
      <c r="E16" s="5" t="inlineStr">
        <is>
          <t>No</t>
        </is>
      </c>
      <c r="F16" s="3" t="inlineStr">
        <is>
          <t>Paper (book chapter)</t>
        </is>
      </c>
      <c r="G16" s="3" t="inlineStr">
        <is>
          <t>#pension_and_social_security_reform</t>
        </is>
      </c>
      <c r="H16" s="3" t="inlineStr">
        <is>
          <t>The most Brazil-specific economics-literature treatment identified in this pass — an IPEA researcher's dedicated chapter on the pension reform question, in a volume format IPEA uses for policy-relevant syntheses; exact scope (ex-ante proposal analysis vs. ex-post assessment) needs confirming since the search results didn't clearly resolve this</t>
        </is>
      </c>
      <c r="I16" s="3" t="inlineStr">
        <is>
          <t>Suggested file: reforma_previdencia_social_ipea (Costanzi, n.d.).pdf</t>
        </is>
      </c>
      <c r="J16" s="51" t="n"/>
      <c r="K16" s="52" t="n"/>
      <c r="L16" s="52" t="n"/>
      <c r="M16" s="51" t="n"/>
      <c r="N16" s="51" t="n"/>
      <c r="O16" s="52" t="n"/>
      <c r="P16" s="51" t="n"/>
    </row>
    <row r="17" ht="79.05" customHeight="1">
      <c r="A17" s="3" t="inlineStr">
        <is>
          <t>Fiscal Federalism</t>
        </is>
      </c>
      <c r="B17" s="3" t="inlineStr">
        <is>
          <t>Oates, W.</t>
        </is>
      </c>
      <c r="C17" s="4" t="inlineStr">
        <is>
          <t>1972</t>
        </is>
      </c>
      <c r="D17" s="4" t="n">
        <v>5</v>
      </c>
      <c r="E17" s="5" t="inlineStr">
        <is>
          <t>No</t>
        </is>
      </c>
      <c r="F17" s="3" t="inlineStr">
        <is>
          <t>Book</t>
        </is>
      </c>
      <c r="G17" s="3" t="inlineStr">
        <is>
          <t>#brazil_fiscal_federalism_and_subnational_debt</t>
        </is>
      </c>
      <c r="H17" s="3" t="inlineStr">
        <is>
          <t>The founding theoretical statement of fiscal federalism — which functions (stabilization, redistribution, allocation) belong at which level of government, and why. Recommended: the introductory chapters laying out the basic assignment-of-functions framework</t>
        </is>
      </c>
      <c r="I17" s="3" t="inlineStr">
        <is>
          <t>Suggested file: fiscal_federalism_selected_chapters (Oates, 1972).pdf</t>
        </is>
      </c>
      <c r="J17" s="51" t="n"/>
      <c r="K17" s="52" t="n"/>
      <c r="L17" s="52" t="n"/>
      <c r="M17" s="51" t="n"/>
      <c r="N17" s="51" t="n"/>
      <c r="O17" s="52" t="n"/>
      <c r="P17" s="51" t="n"/>
    </row>
    <row r="18" ht="124.05" customHeight="1">
      <c r="A18" s="3" t="inlineStr">
        <is>
          <t>Hamilton's Paradox: The Promise and Peril of Fiscal Federalism</t>
        </is>
      </c>
      <c r="B18" s="3" t="inlineStr">
        <is>
          <t>Rodden, J.</t>
        </is>
      </c>
      <c r="C18" s="4" t="inlineStr">
        <is>
          <t>2006</t>
        </is>
      </c>
      <c r="D18" s="4" t="n">
        <v>5</v>
      </c>
      <c r="E18" s="5" t="inlineStr">
        <is>
          <t>No</t>
        </is>
      </c>
      <c r="F18" s="3" t="inlineStr">
        <is>
          <t>Book</t>
        </is>
      </c>
      <c r="G18" s="3" t="inlineStr">
        <is>
          <t>#brazil_fiscal_federalism_and_subnational_debt</t>
        </is>
      </c>
      <c r="H18" s="3" t="inlineStr">
        <is>
          <t>The standard modern cross-country treatment of the subnational-bailout problem — federal governments that repeatedly bail out over-indebted states/provinces create exactly the moral hazard that produces the next bailout; Brazil is one of the book's central comparative cases (alongside Argentina, Germany, the US), directly relevant to the 1990s state-debt crises that motivated the LRF (cluster 3) and to recurring pressure from individual states (e.g. Rio de Janeiro) since</t>
        </is>
      </c>
      <c r="I18" s="3" t="inlineStr">
        <is>
          <t>Suggested file: hamiltons_paradox_selected_chapters (Rodden, 2006).pdf</t>
        </is>
      </c>
      <c r="J18" s="51" t="n"/>
      <c r="K18" s="52" t="n"/>
      <c r="L18" s="52" t="n"/>
      <c r="M18" s="51" t="n"/>
      <c r="N18" s="51" t="n"/>
      <c r="O18" s="52" t="n"/>
      <c r="P18" s="51" t="n"/>
    </row>
    <row r="19" ht="109.05" customHeight="1">
      <c r="A19" s="3" t="inlineStr">
        <is>
          <t>Fiscal Policy in Latin America</t>
        </is>
      </c>
      <c r="B19" s="3" t="inlineStr">
        <is>
          <t>Gavin, M. &amp; Perotti, R.</t>
        </is>
      </c>
      <c r="C19" s="4" t="inlineStr">
        <is>
          <t>1997</t>
        </is>
      </c>
      <c r="D19" s="4" t="n">
        <v>5</v>
      </c>
      <c r="E19" s="5" t="inlineStr">
        <is>
          <t>No</t>
        </is>
      </c>
      <c r="F19" s="3" t="inlineStr">
        <is>
          <t>Paper</t>
        </is>
      </c>
      <c r="G19" s="3" t="inlineStr">
        <is>
          <t>#latin_america_regional_fiscal_policy</t>
        </is>
      </c>
      <c r="H19" s="3" t="inlineStr">
        <is>
          <t>The foundational finding: fiscal policy across 13 major Latin American economies is procyclical (expansionary in booms, contractionary in busts) - the opposite of the countercyclical pattern textbook theory recommends and industrial economies broadly display. Built on a purpose-collected database covering central government, local government, and non-financial public enterprises across the region</t>
        </is>
      </c>
      <c r="I19" s="3" t="n"/>
      <c r="J19" s="51" t="n"/>
      <c r="K19" s="52" t="n"/>
      <c r="L19" s="52" t="n"/>
      <c r="M19" s="51" t="n"/>
      <c r="N19" s="51" t="n"/>
      <c r="O19" s="52" t="n"/>
      <c r="P19" s="51" t="n"/>
    </row>
    <row r="20" ht="94.05" customHeight="1">
      <c r="A20" s="3" t="inlineStr">
        <is>
          <t>Has Fiscal Policy Become Less Procyclical in Latin America? (Chapter 7 in Latin America, IMF)</t>
        </is>
      </c>
      <c r="B20" s="3" t="inlineStr">
        <is>
          <t>Klemm, A.</t>
        </is>
      </c>
      <c r="C20" s="4" t="inlineStr">
        <is>
          <t>n/a</t>
        </is>
      </c>
      <c r="D20" s="4" t="n">
        <v>4</v>
      </c>
      <c r="E20" s="5" t="inlineStr">
        <is>
          <t>No</t>
        </is>
      </c>
      <c r="F20" s="3" t="inlineStr">
        <is>
          <t>Paper (book chapter)</t>
        </is>
      </c>
      <c r="G20" s="3" t="inlineStr">
        <is>
          <t>#latin_america_regional_fiscal_policy</t>
        </is>
      </c>
      <c r="H20" s="3" t="inlineStr">
        <is>
          <t>The natural modern re-test of Gavin &amp; Perotti's 1997 finding - asks whether two more decades of fiscal-rule adoption and institutional reform across the region (directly relevant to cluster 3's Brazil-specific rule history and cluster 6's federalism material) actually reduced procyclicality, or whether the pattern persisted</t>
        </is>
      </c>
      <c r="I20" s="3" t="n"/>
      <c r="J20" s="51" t="n"/>
      <c r="K20" s="52" t="n"/>
      <c r="L20" s="52" t="n"/>
      <c r="M20" s="51" t="n"/>
      <c r="N20" s="51" t="n"/>
      <c r="O20" s="52" t="n"/>
      <c r="P20" s="51" t="n"/>
    </row>
    <row r="21" ht="64" customHeight="1">
      <c r="A21" s="51" t="inlineStr">
        <is>
          <t>Fiscal dominance</t>
        </is>
      </c>
      <c r="B21" s="51" t="inlineStr">
        <is>
          <t>itau</t>
        </is>
      </c>
      <c r="C21" s="52" t="n">
        <v>2025</v>
      </c>
      <c r="D21" s="52" t="n"/>
      <c r="E21" s="53" t="inlineStr">
        <is>
          <t>Yes</t>
        </is>
      </c>
      <c r="F21" s="51" t="n"/>
      <c r="G21" s="51" t="n"/>
      <c r="H21" s="51" t="n"/>
      <c r="I21" s="51" t="inlineStr">
        <is>
          <t>Added by ingestion: not in the curated list. Fill in columns A-I and delete this sentence to keep the row.</t>
        </is>
      </c>
      <c r="J21" s="51" t="inlineStr">
        <is>
          <t>fiscal_dominance (itau, 2025)</t>
        </is>
      </c>
      <c r="K21" s="53" t="inlineStr">
        <is>
          <t>Ingested</t>
        </is>
      </c>
      <c r="L21" s="52" t="inlineStr">
        <is>
          <t>2026-10-20</t>
        </is>
      </c>
      <c r="M21" s="51" t="inlineStr">
        <is>
          <t>reclean (cleaner change)</t>
        </is>
      </c>
      <c r="N21" s="51" t="n"/>
      <c r="O21" s="52" t="inlineStr">
        <is>
          <t>Yes</t>
        </is>
      </c>
      <c r="P21" s="51" t="n"/>
    </row>
  </sheetData>
  <autoFilter ref="A1:P2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FF418791"/>
    <outlinePr summaryBelow="1" summaryRight="1"/>
    <pageSetUpPr/>
  </sheetPr>
  <dimension ref="A1:G20"/>
  <sheetViews>
    <sheetView showGridLines="0" zoomScale="70" zoomScaleNormal="70" workbookViewId="0">
      <pane ySplit="1" topLeftCell="A2" activePane="bottomLeft" state="frozen"/>
      <selection pane="bottomLeft" activeCell="A17" sqref="A17"/>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19.05" customHeight="1">
      <c r="A2" s="3" t="inlineStr">
        <is>
          <t>Dívida Bruta do Governo Geral (DBGG) — % GDP</t>
        </is>
      </c>
      <c r="B2" s="3" t="inlineStr">
        <is>
          <t>SGS 13762</t>
        </is>
      </c>
      <c r="C2" s="4" t="n"/>
      <c r="D2" s="4" t="n"/>
      <c r="E2" s="5" t="inlineStr">
        <is>
          <t>No</t>
        </is>
      </c>
      <c r="F2" s="3" t="inlineStr">
        <is>
          <t>1. Public debt stock</t>
        </is>
      </c>
      <c r="G2" s="3" t="inlineStr">
        <is>
          <t>gross debt, general government, current methodology (post-2008)</t>
        </is>
      </c>
    </row>
    <row r="3" ht="34.05" customHeight="1">
      <c r="A3" s="3" t="inlineStr">
        <is>
          <t>Dívida Líquida do Setor Público (DLSP) — % GDP, total (federal government + central bank)</t>
        </is>
      </c>
      <c r="B3" s="3" t="inlineStr">
        <is>
          <t>SGS 4503</t>
        </is>
      </c>
      <c r="C3" s="4" t="n"/>
      <c r="D3" s="4" t="n"/>
      <c r="E3" s="5" t="inlineStr">
        <is>
          <t>No</t>
        </is>
      </c>
      <c r="F3" s="3" t="inlineStr">
        <is>
          <t>1. Public debt stock</t>
        </is>
      </c>
      <c r="G3" s="3" t="n"/>
    </row>
    <row r="4" ht="34.05" customHeight="1">
      <c r="A4" s="3" t="inlineStr">
        <is>
          <t>Dívida líquida do governo geral — % GDP</t>
        </is>
      </c>
      <c r="B4" s="3" t="inlineStr">
        <is>
          <t>SGS 4536</t>
        </is>
      </c>
      <c r="C4" s="4" t="n"/>
      <c r="D4" s="4" t="n"/>
      <c r="E4" s="5" t="inlineStr">
        <is>
          <t>No</t>
        </is>
      </c>
      <c r="F4" s="3" t="inlineStr">
        <is>
          <t>1. Public debt stock</t>
        </is>
      </c>
      <c r="G4" s="3" t="inlineStr">
        <is>
          <t>narrower institutional scope than 4503 (excludes public enterprises/state-level nuances captured elsewhere)</t>
        </is>
      </c>
    </row>
    <row r="5" ht="49.05" customHeight="1">
      <c r="A5" s="3" t="inlineStr">
        <is>
          <t>Dívida Líquida do Setor Público — R$ million, total, consolidated public sector</t>
        </is>
      </c>
      <c r="B5" s="3" t="inlineStr">
        <is>
          <t>SGS 4478</t>
        </is>
      </c>
      <c r="C5" s="4" t="n"/>
      <c r="D5" s="4" t="n"/>
      <c r="E5" s="5" t="inlineStr">
        <is>
          <t>No</t>
        </is>
      </c>
      <c r="F5" s="3" t="inlineStr">
        <is>
          <t>1. Public debt stock</t>
        </is>
      </c>
      <c r="G5" s="3" t="inlineStr">
        <is>
          <t>the level series behind the ratio series above — useful for reconciling with nominal GDP independently rather than trusting BCB's own ratio calculation</t>
        </is>
      </c>
    </row>
    <row r="6" ht="49.05" customHeight="1">
      <c r="A6" s="3" t="inlineStr">
        <is>
          <t>NFSP sem desvalorização cambial — Resultado primário, % GDP, 12-month accumulated flow, consolidated public sector</t>
        </is>
      </c>
      <c r="B6" s="3" t="inlineStr">
        <is>
          <t>SGS 5793</t>
        </is>
      </c>
      <c r="C6" s="4" t="n"/>
      <c r="D6" s="4" t="n"/>
      <c r="E6" s="5" t="inlineStr">
        <is>
          <t>No</t>
        </is>
      </c>
      <c r="F6" s="3" t="inlineStr">
        <is>
          <t>2. Fiscal balance (primary and nominal result)</t>
        </is>
      </c>
      <c r="G6" s="3" t="inlineStr">
        <is>
          <t>the standard "primary result" headline figure</t>
        </is>
      </c>
    </row>
    <row r="7" ht="49.05" customHeight="1">
      <c r="A7" s="3" t="inlineStr">
        <is>
          <t>NFSP sem desvalorização cambial — Resultado nominal, % GDP, 12-month accumulated flow, consolidated public sector</t>
        </is>
      </c>
      <c r="B7" s="3" t="inlineStr">
        <is>
          <t>SGS 5727</t>
        </is>
      </c>
      <c r="C7" s="4" t="n"/>
      <c r="D7" s="4" t="n"/>
      <c r="E7" s="5" t="inlineStr">
        <is>
          <t>No</t>
        </is>
      </c>
      <c r="F7" s="3" t="inlineStr">
        <is>
          <t>2. Fiscal balance (primary and nominal result)</t>
        </is>
      </c>
      <c r="G7" s="3" t="inlineStr">
        <is>
          <t>primary result plus net interest payments — the figure that actually determines whether debt-to-GDP (§1) is rising or falling, given Domar's arithmetic (bibliography cluster 1)</t>
        </is>
      </c>
    </row>
    <row r="8" ht="49.05" customHeight="1">
      <c r="A8" s="3" t="inlineStr">
        <is>
          <t>NFSP sem desvalorização cambial — Resultado primário, current monthly flow, R$ million, consolidated public sector</t>
        </is>
      </c>
      <c r="B8" s="3" t="inlineStr">
        <is>
          <t>SGS 4649</t>
        </is>
      </c>
      <c r="C8" s="4" t="n"/>
      <c r="D8" s="4" t="n"/>
      <c r="E8" s="5" t="inlineStr">
        <is>
          <t>No</t>
        </is>
      </c>
      <c r="F8" s="3" t="inlineStr">
        <is>
          <t>2. Fiscal balance (primary and nominal result)</t>
        </is>
      </c>
      <c r="G8" s="3" t="inlineStr">
        <is>
          <t>the monthly (not 12m-smoothed) series — needed for anything higher-frequency than the standard 12m headline read, e.g. seasonal patterns in tax collection/spending</t>
        </is>
      </c>
    </row>
    <row r="9" ht="229.05" customHeight="1">
      <c r="A9" s="3" t="inlineStr">
        <is>
          <t>No public debt stock series at all (gross and net) — verified SGS codes identified, purely an implementation gap</t>
        </is>
      </c>
      <c r="B9" s="3" t="n"/>
      <c r="C9" s="4" t="n"/>
      <c r="D9" s="4" t="inlineStr">
        <is>
          <t>High</t>
        </is>
      </c>
      <c r="E9" s="5" t="inlineStr">
        <is>
          <t>No</t>
        </is>
      </c>
      <c r="F9" s="3" t="inlineStr">
        <is>
          <t>1. Public debt stock</t>
        </is>
      </c>
      <c r="G9" s="3" t="inlineStr">
        <is>
          <t>All four confirmed live against the BCB SGS API (2026-07), current through May 2026. This is the single most foundational gap in this inventory — bibliography cluster 1 (debt sustainability arithmetic) and cluster 4 (debt intolerance) are both unusable for Brazil without a debt-stock series, and monetary policy's, inflation's, and economic activity's inventories all already list "a primary-balance/debt-trajectory signal" as a Tier 2 dependency on this agent. Gap within the gap: DBGG (gross) and DLSP (net) are conceptually different and shouldn't be used interchangeably — gross debt doesn't net out financial assets (like BCB's own international reserves) the way net debt does, and international debt-sustainability comparisons (including Reinhart-Rogoff-Savastano's debt-intolerance thresholds, bibliography cluster 4) are usually framed in gross terms while Brazil's own domestic commentary has historically emphasized net debt — both should be ingested rather than picking one.</t>
        </is>
      </c>
    </row>
    <row r="10" ht="274.05" customHeight="1">
      <c r="A10" s="3" t="inlineStr">
        <is>
          <t>No fiscal balance series at all (primary and nominal result) — verified SGS codes identified, purely an implementation gap</t>
        </is>
      </c>
      <c r="B10" s="3" t="n"/>
      <c r="C10" s="4" t="n"/>
      <c r="D10" s="4" t="inlineStr">
        <is>
          <t>High</t>
        </is>
      </c>
      <c r="E10" s="5" t="inlineStr">
        <is>
          <t>No</t>
        </is>
      </c>
      <c r="F10" s="3" t="inlineStr">
        <is>
          <t>2. Fiscal balance (primary and nominal result)</t>
        </is>
      </c>
      <c r="G10" s="3" t="inlineStr">
        <is>
          <t>All three confirmed live (2026-07). "NFSP" = Necessidades de Financiamento do Setor Público, BCB's own public-sector-borrowing-requirement framework — "sem desvalorização cambial" means the exchange-rate-valuation effect on FX-denominated debt is stripped out, giving a cleaner read on the actual fiscal effort rather than a currency-move artifact. Gap within the gap: BCB's "setor público consolidado" (consolidated public sector, the scope of all series above) bundles federal government, states, municipalities, and state-owned enterprises together — there is no breakdown by government level in what's ingested so far, which matters directly for bibliography cluster 6 (subnational federalism). Separately, Tesouro Nacional's own monthly "Resultado do Tesouro Nacional" and "Resultado Primário do Governo Central" releases are methodologically distinct from BCB's SGS figures (different institutional scope — central government only, not the full consolidated public sector) and are the more commonly-cited headline number in Brazilian financial-press coverage; whether Tesouro publishes this as its own SGS-accessible series or only via its own portal (Tesouro Transparente) wasn't confirmed in this pass.</t>
        </is>
      </c>
    </row>
    <row r="11" ht="184.05" customHeight="1">
      <c r="A11" s="3" t="inlineStr">
        <is>
          <t>No revenue/expenditure breakdown by type or function — no source confirmed yet, needs investigation beyond SGS</t>
        </is>
      </c>
      <c r="B11" s="3" t="n"/>
      <c r="C11" s="4" t="n"/>
      <c r="D11" s="4" t="inlineStr">
        <is>
          <t>Medium</t>
        </is>
      </c>
      <c r="E11" s="5" t="inlineStr">
        <is>
          <t>No</t>
        </is>
      </c>
      <c r="F11" s="3" t="inlineStr">
        <is>
          <t>3. Government revenue and expenditure breakdown</t>
        </is>
      </c>
      <c r="G11" s="3" t="inlineStr">
        <is>
          <t>No series for tax revenue (by type — IRPF, IRPJ, COFINS, ICMS et al.) or expenditure (by function — Previdência, saúde, educação, custeio vs. investimento) was identified in this pass. This is a materially bigger gap than §1-§2: debt and the aggregate balance answer "how much and is it rising," but nothing here yet answers "why" — which specific revenue or spending line is driving a given month's fiscal outcome. Possible source: likely Tesouro Nacional's own RREO (Relatório Resumido de Execução Orçamentária, monthly-ish) and RGF (Relatório de Gestão Fiscal, quarterly) releases, or the SIAFI/Tesouro Transparente portal directly — none of these were investigated for API accessibility in this pass, unlike the SGS-based series in §1-§2 which are confirmed straightforward.</t>
        </is>
      </c>
    </row>
    <row r="12" ht="304.05" customHeight="1">
      <c r="A12" s="3" t="inlineStr">
        <is>
          <t>No fiscal rule compliance table (Teto de Gastos historical, Novo Arcabouço target/band vs. actual)</t>
        </is>
      </c>
      <c r="B12" s="3" t="n"/>
      <c r="C12" s="4" t="n"/>
      <c r="D12" s="4" t="inlineStr">
        <is>
          <t>Medium</t>
        </is>
      </c>
      <c r="E12" s="5" t="inlineStr">
        <is>
          <t>No</t>
        </is>
      </c>
      <c r="F12" s="3" t="inlineStr">
        <is>
          <t>5. Fiscal rule compliance metrics (Teto de Gastos / Novo Arcabouço Fiscal)</t>
        </is>
      </c>
      <c r="G12" s="3" t="inlineStr">
        <is>
          <t>Neither the historical Teto de Gastos (EC 95/2016) ceiling levels nor the current Novo Arcabouço Fiscal's (LC 200/2023) expense-growth band (0.6%-2.5% real) and annually-set primary-result target (set via the LDO, per bibliography cluster 3) are tracked anywhere. Unlike §1-§2, this is very unlikely to be an SGS series — it's a small number of administratively-set parameters that change on a predictable (annual, for the LDO target) or rare (constitutional-amendment-level, for a rule replacement) cadence. Recommended approach: a small lookup table — (ano, meta_resultado_primario, banda_crescimento_despesa_min, banda_crescimento_despesa_max, regra_vigente) — maintained by periodically checking the LDO and any rule amendments, the same "small, slow-moving, cheap once someone owns it" pattern already used for the proposed inflation-target-parameters table in monetary_policy_data_inventory.md §6 and the proposed minimum-wage table in labor_market_data_inventory.md §7. Why this matters beyond bookkeeping: without it, the agent can report the primary result (§2) but can't say whether it's compliant with the rule currently in force — the entire point of a fiscal rule, per bibliography cluster 3's Kopits &amp; Symansky framework, is that it's a benchmark to be measured against, not just a number to report in isolation.</t>
        </is>
      </c>
    </row>
    <row r="13" ht="169.05" customHeight="1">
      <c r="A13" s="3" t="inlineStr">
        <is>
          <t>No subnational (state/municipality) debt or fiscal result breakdown</t>
        </is>
      </c>
      <c r="B13" s="3" t="n"/>
      <c r="C13" s="4" t="n"/>
      <c r="D13" s="4" t="inlineStr">
        <is>
          <t>Medium</t>
        </is>
      </c>
      <c r="E13" s="5" t="inlineStr">
        <is>
          <t>No</t>
        </is>
      </c>
      <c r="F13" s="3" t="inlineStr">
        <is>
          <t>6. Subnational (states and municipalities) debt and fiscal result</t>
        </is>
      </c>
      <c r="G13" s="3" t="inlineStr">
        <is>
          <t>Bibliography cluster 6 (federalism/subnational debt, built around Rodden's Hamilton's Paradox) has no matching data — §1-§2's series are all consolidated-public-sector aggregates with no state/municipality-level breakdown. Given Rio de Janeiro's 2016-17 fiscal crisis is one of the bibliography's own flagged open gaps (a citation, not just data), this is a case where the literature and data gaps reinforce each other and are worth closing together. Possible source: BCB SGS does publish some subnational-level debt series (state-level DLSP breakdowns) — not confirmed via live check in this pass, unlike §1-§2; STN (Secretaria do Tesouro Nacional) also publishes state-level fiscal data directly. Needs a dedicated verification pass before building.</t>
        </is>
      </c>
    </row>
    <row r="14" ht="139.05" customHeight="1">
      <c r="A14" s="3" t="inlineStr">
        <is>
          <t>No RGPS/Previdência-specific deficit series isolated from the broader expenditure breakdown</t>
        </is>
      </c>
      <c r="B14" s="3" t="n"/>
      <c r="C14" s="4" t="n"/>
      <c r="D14" s="4" t="inlineStr">
        <is>
          <t>Low</t>
        </is>
      </c>
      <c r="E14" s="5" t="inlineStr">
        <is>
          <t>No</t>
        </is>
      </c>
      <c r="F14" s="3" t="inlineStr">
        <is>
          <t>4. Pension/social security balance (RGPS deficit)</t>
        </is>
      </c>
      <c r="G14" s="3" t="inlineStr">
        <is>
          <t>Bibliography cluster 5 identifies pension spending as the dominant driver of Brazil's structural primary-spending growth, but no series specifically isolating the RGPS (Regime Geral de Previdência Social) actuarial or cash-flow deficit was identified or confirmed via SGS in this pass — this would sit inside §3's broader expenditure-by-function breakdown rather than as its own standalone series, but is flagged separately given how load-bearing it is for reading EC 103/2019's (2019 pension reform) actual realized effect, the same open gap already flagged in the bibliography file itself.</t>
        </is>
      </c>
    </row>
    <row r="15" ht="274.05" customHeight="1">
      <c r="A15" s="3" t="inlineStr">
        <is>
          <t>Tesouro Nacional's own central-government-only result release not reconciled against BCB's consolidated-public-sector series</t>
        </is>
      </c>
      <c r="B15" s="3" t="n"/>
      <c r="C15" s="4" t="n"/>
      <c r="D15" s="4" t="inlineStr">
        <is>
          <t>Low</t>
        </is>
      </c>
      <c r="E15" s="5" t="inlineStr">
        <is>
          <t>No</t>
        </is>
      </c>
      <c r="F15" s="3" t="inlineStr">
        <is>
          <t>2. Fiscal balance (primary and nominal result)</t>
        </is>
      </c>
      <c r="G15" s="3" t="inlineStr">
        <is>
          <t>All three confirmed live (2026-07). "NFSP" = Necessidades de Financiamento do Setor Público, BCB's own public-sector-borrowing-requirement framework — "sem desvalorização cambial" means the exchange-rate-valuation effect on FX-denominated debt is stripped out, giving a cleaner read on the actual fiscal effort rather than a currency-move artifact. Gap within the gap: BCB's "setor público consolidado" (consolidated public sector, the scope of all series above) bundles federal government, states, municipalities, and state-owned enterprises together — there is no breakdown by government level in what's ingested so far, which matters directly for bibliography cluster 6 (subnational federalism). Separately, Tesouro Nacional's own monthly "Resultado do Tesouro Nacional" and "Resultado Primário do Governo Central" releases are methodologically distinct from BCB's SGS figures (different institutional scope — central government only, not the full consolidated public sector) and are the more commonly-cited headline number in Brazilian financial-press coverage; whether Tesouro publishes this as its own SGS-accessible series or only via its own portal (Tesouro Transparente) wasn't confirmed in this pass.</t>
        </is>
      </c>
    </row>
    <row r="16" ht="94.05" customHeight="1">
      <c r="A16" s="3" t="inlineStr">
        <is>
          <t>Output gap / potential output estimate — needed to compute a cyclically-adjusted</t>
        </is>
      </c>
      <c r="B16" s="3" t="n"/>
      <c r="C16" s="4" t="n"/>
      <c r="D16" s="4" t="n"/>
      <c r="E16" s="8" t="inlineStr">
        <is>
          <t>Needs agent</t>
        </is>
      </c>
      <c r="F16" s="3" t="inlineStr">
        <is>
          <t>Tier 2 — From the economic activity agent</t>
        </is>
      </c>
      <c r="G16" s="3" t="inlineStr">
        <is>
          <t>Output gap / potential output estimate — needed to compute a cyclically-adjusted (structural) primary balance, the standard way of separating a genuine fiscal policy stance change from an automatic, cycle-driven revenue/spending swing. Flagged as a gap in economic_activity_data_inventory.md §6 itself — this agent inherits that same gap rather than duplicating it.</t>
        </is>
      </c>
    </row>
    <row r="17" ht="64.05" customHeight="1">
      <c r="A17" s="3" t="inlineStr">
        <is>
          <t>Nominal GDP — needed as the denominator for every ratio series in §1-§2 above; macro_brasil.atv_pib already has this</t>
        </is>
      </c>
      <c r="B17" s="3" t="n"/>
      <c r="C17" s="4" t="n"/>
      <c r="D17" s="4" t="n"/>
      <c r="E17" s="8" t="inlineStr">
        <is>
          <t>Needs agent</t>
        </is>
      </c>
      <c r="F17" s="3" t="inlineStr">
        <is>
          <t>Tier 2 — From the economic activity agent</t>
        </is>
      </c>
      <c r="G17" s="3" t="inlineStr">
        <is>
          <t>Nominal GDP — needed as the denominator for every ratio series in §1-§2 above; macro_brasil.atv_pib already has this (owned by economic activity), so this is a straightforward existing dependency rather than a placeholder.</t>
        </is>
      </c>
    </row>
    <row r="18" ht="109.05" customHeight="1">
      <c r="A18" s="3" t="inlineStr">
        <is>
          <t>A sovereign risk premium proxy</t>
        </is>
      </c>
      <c r="B18" s="3" t="n"/>
      <c r="C18" s="4" t="n"/>
      <c r="D18" s="4" t="n"/>
      <c r="E18" s="8" t="inlineStr">
        <is>
          <t>Needs agent</t>
        </is>
      </c>
      <c r="F18" s="3" t="inlineStr">
        <is>
          <t>Tier 2 — From the exchange rate agent</t>
        </is>
      </c>
      <c r="G18" s="3" t="inlineStr">
        <is>
          <t>A sovereign risk premium proxy (EMBI-style spread, or CDS) — the market-priced complement to Reinhart-Rogoff-Savastano's debt-intolerance framing (bibliography cluster 4): does the market currently treat Brazil's debt level as risky, independent of what the arithmetic alone would say? Not currently identified as existing in exchange_rate_data_inventory.md either — a gap shared across two agents' inventories rather than resolved in either.</t>
        </is>
      </c>
    </row>
    <row r="19" ht="64.05" customHeight="1">
      <c r="A19" s="3" t="inlineStr">
        <is>
          <t>The real interest rate path</t>
        </is>
      </c>
      <c r="B19" s="3" t="n"/>
      <c r="C19" s="4" t="n"/>
      <c r="D19" s="4" t="n"/>
      <c r="E19" s="8" t="inlineStr">
        <is>
          <t>Needs agent</t>
        </is>
      </c>
      <c r="F19" s="3" t="inlineStr">
        <is>
          <t>Tier 2 — From the monetary policy agent</t>
        </is>
      </c>
      <c r="G19" s="3" t="inlineStr">
        <is>
          <t>The real interest rate path (Selic real, already computed in macro_international.diferenciais_juros) — needed to project debt-service costs and to interpret the r-vs-g comparison (Domar 1944 / Blanchard 2019, bibliography cluster 1) using Brazil's actual, not a generic, r.</t>
        </is>
      </c>
    </row>
    <row r="20" ht="49.05" customHeight="1">
      <c r="A20" s="3" t="inlineStr">
        <is>
          <t>The minimum wage series and Previdência indexation rule itself, once built there</t>
        </is>
      </c>
      <c r="B20" s="3" t="n"/>
      <c r="C20" s="4" t="n"/>
      <c r="D20" s="4" t="n"/>
      <c r="E20" s="8" t="inlineStr">
        <is>
          <t>Needs agent</t>
        </is>
      </c>
      <c r="F20" s="3" t="inlineStr">
        <is>
          <t>Tier 2 — From the labor market agent</t>
        </is>
      </c>
      <c r="G20" s="3" t="inlineStr">
        <is>
          <t>The minimum wage series and Previdência indexation rule itself, once built there (§7 above) — restated as a forward pointer rather than a fresh placeholder.</t>
        </is>
      </c>
    </row>
  </sheetData>
  <autoFilter ref="A1:G20"/>
  <pageMargins left="0.75" right="0.75" top="1" bottom="1" header="0.5" footer="0.5"/>
</worksheet>
</file>

<file path=xl/worksheets/sheet11.xml><?xml version="1.0" encoding="utf-8"?>
<worksheet xmlns="http://schemas.openxmlformats.org/spreadsheetml/2006/main">
  <sheetPr>
    <tabColor rgb="FF1F2853"/>
    <outlinePr summaryBelow="1" summaryRight="1"/>
    <pageSetUpPr/>
  </sheetPr>
  <dimension ref="A1:P44"/>
  <sheetViews>
    <sheetView showGridLines="0" workbookViewId="0">
      <pane ySplit="1" topLeftCell="A2" activePane="bottomLeft" state="frozen"/>
      <selection pane="bottomLeft" activeCell="A1" sqref="A1"/>
    </sheetView>
  </sheetViews>
  <sheetFormatPr baseColWidth="8" defaultRowHeight="14.4"/>
  <cols>
    <col width="42" customWidth="1" min="1" max="1"/>
    <col width="28" customWidth="1" min="2" max="2"/>
    <col width="12" customWidth="1" min="3" max="3"/>
    <col width="10" customWidth="1" min="4" max="4"/>
    <col width="13" customWidth="1" min="5" max="5"/>
    <col width="20" customWidth="1" min="6" max="6"/>
    <col width="22" customWidth="1" min="7" max="7"/>
    <col width="5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49.05" customHeight="1">
      <c r="A2" s="3" t="inlineStr">
        <is>
          <t>The Relation between Unemployment and the Rate of Change of Money Wage Rates in the United Kingdom, 1861-1957</t>
        </is>
      </c>
      <c r="B2" s="3" t="inlineStr">
        <is>
          <t>Phillips, A.W.</t>
        </is>
      </c>
      <c r="C2" s="4" t="inlineStr">
        <is>
          <t>1958</t>
        </is>
      </c>
      <c r="D2" s="4" t="n">
        <v>5</v>
      </c>
      <c r="E2" s="5" t="inlineStr">
        <is>
          <t>No</t>
        </is>
      </c>
      <c r="F2" s="3" t="inlineStr">
        <is>
          <t>Paper</t>
        </is>
      </c>
      <c r="G2" s="3" t="inlineStr">
        <is>
          <t>#phillips_curve_and_expectations_augmentation</t>
        </is>
      </c>
      <c r="H2" s="3" t="inlineStr">
        <is>
          <t>The original empirical curve — starting point for the entire literature, including its own eventual refutation</t>
        </is>
      </c>
      <c r="I2" s="3" t="inlineStr">
        <is>
          <t>Suggested file: original_phillips_curve (Phillips, 1958).pdf</t>
        </is>
      </c>
      <c r="J2" s="51" t="n"/>
      <c r="K2" s="52" t="n"/>
      <c r="L2" s="52" t="n"/>
      <c r="M2" s="51" t="n"/>
      <c r="N2" s="51" t="n"/>
      <c r="O2" s="52" t="n"/>
      <c r="P2" s="51" t="n"/>
    </row>
    <row r="3" ht="64.05" customHeight="1">
      <c r="A3" s="3" t="inlineStr">
        <is>
          <t>Phillips Curves, Expectations of Inflation and Optimal Unemployment over Time</t>
        </is>
      </c>
      <c r="B3" s="3" t="inlineStr">
        <is>
          <t>Phelps, E.</t>
        </is>
      </c>
      <c r="C3" s="4" t="inlineStr">
        <is>
          <t>1967</t>
        </is>
      </c>
      <c r="D3" s="4" t="n">
        <v>5</v>
      </c>
      <c r="E3" s="5" t="inlineStr">
        <is>
          <t>No</t>
        </is>
      </c>
      <c r="F3" s="3" t="inlineStr">
        <is>
          <t>Paper</t>
        </is>
      </c>
      <c r="G3" s="3" t="inlineStr">
        <is>
          <t>#phillips_curve_and_expectations_augmentation</t>
        </is>
      </c>
      <c r="H3" s="3" t="inlineStr">
        <is>
          <t>Co-discoverer (with Friedman) of the expectations-augmented Phillips curve and the natural rate concept - the theoretical rupture that made the original curve's apparent policy trade-off illusory</t>
        </is>
      </c>
      <c r="I3" s="3" t="n"/>
      <c r="J3" s="51" t="n"/>
      <c r="K3" s="52" t="n"/>
      <c r="L3" s="52" t="n"/>
      <c r="M3" s="51" t="n"/>
      <c r="N3" s="51" t="n"/>
      <c r="O3" s="52" t="n"/>
      <c r="P3" s="51" t="n"/>
    </row>
    <row r="4" ht="64.05" customHeight="1">
      <c r="A4" s="3" t="inlineStr">
        <is>
          <t>Econometric Policy Evaluation: A Critique</t>
        </is>
      </c>
      <c r="B4" s="3" t="inlineStr">
        <is>
          <t>Lucas, R.</t>
        </is>
      </c>
      <c r="C4" s="4" t="inlineStr">
        <is>
          <t>1976</t>
        </is>
      </c>
      <c r="D4" s="4" t="n">
        <v>5</v>
      </c>
      <c r="E4" s="5" t="inlineStr">
        <is>
          <t>No</t>
        </is>
      </c>
      <c r="F4" s="3" t="inlineStr">
        <is>
          <t>Paper</t>
        </is>
      </c>
      <c r="G4" s="3" t="inlineStr">
        <is>
          <t>#phillips_curve_and_expectations_augmentation</t>
        </is>
      </c>
      <c r="H4" s="3" t="inlineStr">
        <is>
          <t>The Lucas critique, developed largely through the Phillips curve example - explains why the naive statistical trade-off breaks down when policy exploits it, essential background for reading any later Phillips curve work critically</t>
        </is>
      </c>
      <c r="I4" s="3" t="n"/>
      <c r="J4" s="51" t="n"/>
      <c r="K4" s="52" t="n"/>
      <c r="L4" s="52" t="n"/>
      <c r="M4" s="51" t="n"/>
      <c r="N4" s="51" t="n"/>
      <c r="O4" s="52" t="n"/>
      <c r="P4" s="51" t="n"/>
    </row>
    <row r="5" ht="94.05" customHeight="1">
      <c r="A5" s="3" t="inlineStr">
        <is>
          <t>Inflation Dynamics: A Structural Econometric Analysis</t>
        </is>
      </c>
      <c r="B5" s="3" t="inlineStr">
        <is>
          <t>Gali, J. &amp; Gertler, M.</t>
        </is>
      </c>
      <c r="C5" s="4" t="inlineStr">
        <is>
          <t>1999</t>
        </is>
      </c>
      <c r="D5" s="4" t="n">
        <v>5</v>
      </c>
      <c r="E5" s="5" t="inlineStr">
        <is>
          <t>No</t>
        </is>
      </c>
      <c r="F5" s="3" t="inlineStr">
        <is>
          <t>Paper</t>
        </is>
      </c>
      <c r="G5" s="3" t="inlineStr">
        <is>
          <t>#phillips_curve_and_expectations_augmentation</t>
        </is>
      </c>
      <c r="H5" s="3" t="inlineStr">
        <is>
          <t>The empirical New Keynesian Phillips curve (NKPC) paper - estimates the hybrid backward/forward-looking specification that remains the workhorse for inflation dynamics research; distinct from Clarida-Gali-Gertler (1999, in monetary policy), which surveys the policy-rule side rather than estimating the inflation equation itself</t>
        </is>
      </c>
      <c r="I5" s="3" t="n"/>
      <c r="J5" s="51" t="n"/>
      <c r="K5" s="52" t="n"/>
      <c r="L5" s="52" t="n"/>
      <c r="M5" s="51" t="n"/>
      <c r="N5" s="51" t="n"/>
      <c r="O5" s="52" t="n"/>
      <c r="P5" s="51" t="n"/>
    </row>
    <row r="6" ht="64.05" customHeight="1">
      <c r="A6" s="3" t="inlineStr">
        <is>
          <t>The Phillips Curve: Back to the '60s</t>
        </is>
      </c>
      <c r="B6" s="3" t="inlineStr">
        <is>
          <t>Blanchard, O.</t>
        </is>
      </c>
      <c r="C6" s="4" t="inlineStr">
        <is>
          <t>2016</t>
        </is>
      </c>
      <c r="D6" s="4" t="n">
        <v>4</v>
      </c>
      <c r="E6" s="5" t="inlineStr">
        <is>
          <t>No</t>
        </is>
      </c>
      <c r="F6" s="3" t="inlineStr">
        <is>
          <t>Paper</t>
        </is>
      </c>
      <c r="G6" s="3" t="inlineStr">
        <is>
          <t>#phillips_curve_and_expectations_augmentation</t>
        </is>
      </c>
      <c r="H6" s="3" t="inlineStr">
        <is>
          <t>Documents the post-2008 flattening of the curve and argues the relationship has reverted toward its pre-1970s low-slope, low-persistence form - the direct setup for the 'missing disinflation' and 'missing inflation' puzzles below</t>
        </is>
      </c>
      <c r="I6" s="3" t="n"/>
      <c r="J6" s="51" t="n"/>
      <c r="K6" s="52" t="n"/>
      <c r="L6" s="52" t="n"/>
      <c r="M6" s="51" t="n"/>
      <c r="N6" s="51" t="n"/>
      <c r="O6" s="52" t="n"/>
      <c r="P6" s="51" t="n"/>
    </row>
    <row r="7" ht="79.05" customHeight="1">
      <c r="A7" s="3" t="inlineStr">
        <is>
          <t>Globalisation and Inflation: New Cross-Country Evidence on the Global Determinants of Domestic Inflation</t>
        </is>
      </c>
      <c r="B7" s="3" t="inlineStr">
        <is>
          <t>Borio, C. &amp; Filardo, A.</t>
        </is>
      </c>
      <c r="C7" s="4" t="inlineStr">
        <is>
          <t>2007</t>
        </is>
      </c>
      <c r="D7" s="4" t="n">
        <v>4</v>
      </c>
      <c r="E7" s="5" t="inlineStr">
        <is>
          <t>No</t>
        </is>
      </c>
      <c r="F7" s="3" t="inlineStr">
        <is>
          <t>Paper</t>
        </is>
      </c>
      <c r="G7" s="3" t="inlineStr">
        <is>
          <t>#phillips_curve_and_expectations_augmentation</t>
        </is>
      </c>
      <c r="H7" s="3" t="inlineStr">
        <is>
          <t>The structural explanation underlying much of the 2010s low-inflation commentary: argues global slack (import competition, global value chains), not domestic slack, is what disciplines prices - a leading candidate answer for why the curve looks flat from a purely domestic-variables perspective</t>
        </is>
      </c>
      <c r="I7" s="3" t="n"/>
      <c r="J7" s="51" t="n"/>
      <c r="K7" s="52" t="n"/>
      <c r="L7" s="52" t="n"/>
      <c r="M7" s="51" t="n"/>
      <c r="N7" s="51" t="n"/>
      <c r="O7" s="52" t="n"/>
      <c r="P7" s="51" t="n"/>
    </row>
    <row r="8" ht="79.05" customHeight="1">
      <c r="A8" s="3" t="inlineStr">
        <is>
          <t>The Dog That Didn't Bark: Has Inflation Been Muzzled or Was It Just Sleeping?</t>
        </is>
      </c>
      <c r="B8" s="3" t="inlineStr">
        <is>
          <t>International Monetary Fund</t>
        </is>
      </c>
      <c r="C8" s="4" t="inlineStr">
        <is>
          <t>2013</t>
        </is>
      </c>
      <c r="D8" s="4" t="n">
        <v>4</v>
      </c>
      <c r="E8" s="5" t="inlineStr">
        <is>
          <t>No</t>
        </is>
      </c>
      <c r="F8" s="3" t="inlineStr">
        <is>
          <t>Paper (institutional report chapter)</t>
        </is>
      </c>
      <c r="G8" s="3" t="inlineStr">
        <is>
          <t>#phillips_curve_and_expectations_augmentation</t>
        </is>
      </c>
      <c r="H8" s="3" t="inlineStr">
        <is>
          <t>The earliest, most influential institutional statement of the missing-disinflation puzzle - argues anchored expectations explain why inflation didn't fall as much as pre-2008 models predicted despite the Great Recession's huge output gaps; predates and complements Coibion &amp; Gorodnichenko (2015) below</t>
        </is>
      </c>
      <c r="I8" s="3" t="n"/>
      <c r="J8" s="51" t="n"/>
      <c r="K8" s="52" t="n"/>
      <c r="L8" s="52" t="n"/>
      <c r="M8" s="51" t="n"/>
      <c r="N8" s="51" t="n"/>
      <c r="O8" s="52" t="n"/>
      <c r="P8" s="51" t="n"/>
    </row>
    <row r="9" ht="94.05" customHeight="1">
      <c r="A9" s="3" t="inlineStr">
        <is>
          <t>Prospects for Inflation in a High Pressure Economy: Is the Phillips Curve Dead or Is It Just Hibernating?</t>
        </is>
      </c>
      <c r="B9" s="3" t="inlineStr">
        <is>
          <t>Hooper, P., Mishkin, F. &amp; Sufi, A.</t>
        </is>
      </c>
      <c r="C9" s="4" t="inlineStr">
        <is>
          <t>2019</t>
        </is>
      </c>
      <c r="D9" s="4" t="n">
        <v>5</v>
      </c>
      <c r="E9" s="5" t="inlineStr">
        <is>
          <t>No</t>
        </is>
      </c>
      <c r="F9" s="3" t="inlineStr">
        <is>
          <t>Paper</t>
        </is>
      </c>
      <c r="G9" s="3" t="inlineStr">
        <is>
          <t>#phillips_curve_and_expectations_augmentation</t>
        </is>
      </c>
      <c r="H9" s="3" t="inlineStr">
        <is>
          <t>The most comprehensive later verdict on the full 2008-2019 flattening episode - covers both the 2009-11 'missing disinflation' and the mirror-image 2015-19 'missing inflation' (unemployment at multi-decade lows with no inflation acceleration), concluding the curve is very flat but not dead. The single best entry point if only one source from this stretch is read</t>
        </is>
      </c>
      <c r="I9" s="3" t="n"/>
      <c r="J9" s="51" t="n"/>
      <c r="K9" s="52" t="n"/>
      <c r="L9" s="52" t="n"/>
      <c r="M9" s="51" t="n"/>
      <c r="N9" s="51" t="n"/>
      <c r="O9" s="52" t="n"/>
      <c r="P9" s="51" t="n"/>
    </row>
    <row r="10" ht="49.05" customHeight="1">
      <c r="A10" s="3" t="inlineStr">
        <is>
          <t>Is the Phillips Curve Alive and Well After All? Inflation Expectations and the Missing Disinflation</t>
        </is>
      </c>
      <c r="B10" s="3" t="inlineStr">
        <is>
          <t>Coibion, O. &amp; Gorodnichenko, Y.</t>
        </is>
      </c>
      <c r="C10" s="4" t="inlineStr">
        <is>
          <t>2015</t>
        </is>
      </c>
      <c r="D10" s="4" t="n">
        <v>4</v>
      </c>
      <c r="E10" s="5" t="inlineStr">
        <is>
          <t>No</t>
        </is>
      </c>
      <c r="F10" s="3" t="inlineStr">
        <is>
          <t>Paper</t>
        </is>
      </c>
      <c r="G10" s="3" t="inlineStr">
        <is>
          <t>#phillips_curve_and_expectations_augmentation</t>
        </is>
      </c>
      <c r="H10" s="3" t="inlineStr">
        <is>
          <t>Resolves the 2009-11 'missing disinflation' puzzle by showing standard Phillips curve estimates use the wrong expectations measure - directly bridges to cluster 2</t>
        </is>
      </c>
      <c r="I10" s="3" t="n"/>
      <c r="J10" s="51" t="n"/>
      <c r="K10" s="52" t="n"/>
      <c r="L10" s="52" t="n"/>
      <c r="M10" s="51" t="n"/>
      <c r="N10" s="51" t="n"/>
      <c r="O10" s="52" t="n"/>
      <c r="P10" s="51" t="n"/>
    </row>
    <row r="11" ht="79.05" customHeight="1">
      <c r="A11" s="3" t="inlineStr">
        <is>
          <t>Targets and Inflation Dynamics</t>
        </is>
      </c>
      <c r="B11" s="3" t="inlineStr">
        <is>
          <t>Alves, S.A.L. &amp; Areosa, W.D.</t>
        </is>
      </c>
      <c r="C11" s="4" t="inlineStr">
        <is>
          <t>2005</t>
        </is>
      </c>
      <c r="D11" s="4" t="n">
        <v>4</v>
      </c>
      <c r="E11" s="5" t="inlineStr">
        <is>
          <t>No</t>
        </is>
      </c>
      <c r="F11" s="3" t="inlineStr">
        <is>
          <t>Paper</t>
        </is>
      </c>
      <c r="G11" s="3" t="inlineStr">
        <is>
          <t>#phillips_curve_and_expectations_augmentation</t>
        </is>
      </c>
      <c r="H11" s="3" t="inlineStr">
        <is>
          <t>Derives a Brazil-specific NKPC with indexation to both past inflation and the inflation target itself, generalizing Woodford's (2003) hybrid curve - the direct Brazilian counterpart to Gali &amp; Gertler (1999) above, built for a regime (explicit inflation targets) the original NKPC wasn't designed around</t>
        </is>
      </c>
      <c r="I11" s="3" t="n"/>
      <c r="J11" s="51" t="n"/>
      <c r="K11" s="52" t="n"/>
      <c r="L11" s="52" t="n"/>
      <c r="M11" s="51" t="n"/>
      <c r="N11" s="51" t="n"/>
      <c r="O11" s="52" t="n"/>
      <c r="P11" s="51" t="n"/>
    </row>
    <row r="12" ht="49.05" customHeight="1">
      <c r="A12" s="3" t="inlineStr">
        <is>
          <t>Phillips Curve in Brazil: An Unobserved Components Approach</t>
        </is>
      </c>
      <c r="B12" s="3" t="inlineStr">
        <is>
          <t>da Gama Machado, V. &amp; Portugal, M.S.</t>
        </is>
      </c>
      <c r="C12" s="4" t="inlineStr">
        <is>
          <t>2014</t>
        </is>
      </c>
      <c r="D12" s="4" t="n">
        <v>3</v>
      </c>
      <c r="E12" s="5" t="inlineStr">
        <is>
          <t>No</t>
        </is>
      </c>
      <c r="F12" s="3" t="inlineStr">
        <is>
          <t>Paper</t>
        </is>
      </c>
      <c r="G12" s="3" t="inlineStr">
        <is>
          <t>#phillips_curve_and_expectations_augmentation</t>
        </is>
      </c>
      <c r="H12" s="3" t="inlineStr">
        <is>
          <t>A later, methodologically distinct (unobserved-components) Brazilian Phillips curve estimate - useful as a robustness comparison against Alves &amp; Areosa's structural NKPC approach</t>
        </is>
      </c>
      <c r="I12" s="3" t="n"/>
      <c r="J12" s="51" t="n"/>
      <c r="K12" s="52" t="n"/>
      <c r="L12" s="52" t="n"/>
      <c r="M12" s="51" t="n"/>
      <c r="N12" s="51" t="n"/>
      <c r="O12" s="52" t="n"/>
      <c r="P12" s="51" t="n"/>
    </row>
    <row r="13" ht="49.05" customHeight="1">
      <c r="A13" s="3" t="inlineStr">
        <is>
          <t>Sticky Information versus Sticky Prices: A Proposal to Replace the New Keynesian Phillips Curve</t>
        </is>
      </c>
      <c r="B13" s="3" t="inlineStr">
        <is>
          <t>Mankiw, N.G. &amp; Reis, R.</t>
        </is>
      </c>
      <c r="C13" s="4" t="inlineStr">
        <is>
          <t>2002</t>
        </is>
      </c>
      <c r="D13" s="4" t="n">
        <v>4</v>
      </c>
      <c r="E13" s="5" t="inlineStr">
        <is>
          <t>No</t>
        </is>
      </c>
      <c r="F13" s="3" t="inlineStr">
        <is>
          <t>Paper</t>
        </is>
      </c>
      <c r="G13" s="3" t="inlineStr">
        <is>
          <t>#inflation_expectations_formation_and_anchoring</t>
        </is>
      </c>
      <c r="H13" s="3" t="inlineStr">
        <is>
          <t>The sticky-information alternative to Calvo-style price stickiness — matters because it generates very different (and often more realistic) inflation persistence and disinflation dynamics</t>
        </is>
      </c>
      <c r="I13" s="3" t="inlineStr">
        <is>
          <t>Suggested file: sticky_information (Mankiw &amp; Reis, 2002).pdf</t>
        </is>
      </c>
      <c r="J13" s="51" t="n"/>
      <c r="K13" s="52" t="n"/>
      <c r="L13" s="52" t="n"/>
      <c r="M13" s="51" t="n"/>
      <c r="N13" s="51" t="n"/>
      <c r="O13" s="52" t="n"/>
      <c r="P13" s="51" t="n"/>
    </row>
    <row r="14" ht="49.05" customHeight="1">
      <c r="A14" s="3" t="inlineStr">
        <is>
          <t>Implications of Rational Inattention</t>
        </is>
      </c>
      <c r="B14" s="3" t="inlineStr">
        <is>
          <t>Sims, C.</t>
        </is>
      </c>
      <c r="C14" s="4" t="inlineStr">
        <is>
          <t>2003</t>
        </is>
      </c>
      <c r="D14" s="4" t="n">
        <v>4</v>
      </c>
      <c r="E14" s="5" t="inlineStr">
        <is>
          <t>No</t>
        </is>
      </c>
      <c r="F14" s="3" t="inlineStr">
        <is>
          <t>Paper</t>
        </is>
      </c>
      <c r="G14" s="3" t="inlineStr">
        <is>
          <t>#inflation_expectations_formation_and_anchoring</t>
        </is>
      </c>
      <c r="H14" s="3" t="inlineStr">
        <is>
          <t>Foundational rational inattention framework - the formal information-friction machinery underlying Coibion-Gorodnichenko's expectations work and much of the modern anchoring literature</t>
        </is>
      </c>
      <c r="I14" s="3" t="n"/>
      <c r="J14" s="51" t="n"/>
      <c r="K14" s="52" t="n"/>
      <c r="L14" s="52" t="n"/>
      <c r="M14" s="51" t="n"/>
      <c r="N14" s="51" t="n"/>
      <c r="O14" s="52" t="n"/>
      <c r="P14" s="51" t="n"/>
    </row>
    <row r="15" ht="64.05" customHeight="1">
      <c r="A15" s="3" t="inlineStr">
        <is>
          <t>The Formation of Expectations, Inflation, and the Phillips Curve</t>
        </is>
      </c>
      <c r="B15" s="3" t="inlineStr">
        <is>
          <t>Coibion, O., Gorodnichenko, Y. &amp; Kamdar, R.</t>
        </is>
      </c>
      <c r="C15" s="4" t="inlineStr">
        <is>
          <t>2018</t>
        </is>
      </c>
      <c r="D15" s="4" t="n">
        <v>5</v>
      </c>
      <c r="E15" s="5" t="inlineStr">
        <is>
          <t>No</t>
        </is>
      </c>
      <c r="F15" s="3" t="inlineStr">
        <is>
          <t>Paper</t>
        </is>
      </c>
      <c r="G15" s="3" t="inlineStr">
        <is>
          <t>#inflation_expectations_formation_and_anchoring</t>
        </is>
      </c>
      <c r="H15" s="3" t="inlineStr">
        <is>
          <t>The definitive survey of how firms, consumers, and professional forecasters actually form inflation expectations - ties together sticky information, rational inattention, and survey-data evidence into one reference</t>
        </is>
      </c>
      <c r="I15" s="3" t="n"/>
      <c r="J15" s="51" t="n"/>
      <c r="K15" s="52" t="n"/>
      <c r="L15" s="52" t="n"/>
      <c r="M15" s="51" t="n"/>
      <c r="N15" s="51" t="n"/>
      <c r="O15" s="52" t="n"/>
      <c r="P15" s="51" t="n"/>
    </row>
    <row r="16" ht="64.05" customHeight="1">
      <c r="A16" s="3" t="inlineStr">
        <is>
          <t>Inflation Expectations and Inflation Forecasting</t>
        </is>
      </c>
      <c r="B16" s="3" t="inlineStr">
        <is>
          <t>Bernanke, B.</t>
        </is>
      </c>
      <c r="C16" s="4" t="inlineStr">
        <is>
          <t>2007</t>
        </is>
      </c>
      <c r="D16" s="4" t="n">
        <v>3</v>
      </c>
      <c r="E16" s="5" t="inlineStr">
        <is>
          <t>No</t>
        </is>
      </c>
      <c r="F16" s="3" t="inlineStr">
        <is>
          <t>Speech/Paper</t>
        </is>
      </c>
      <c r="G16" s="3" t="inlineStr">
        <is>
          <t>#inflation_expectations_formation_and_anchoring</t>
        </is>
      </c>
      <c r="H16" s="3" t="inlineStr">
        <is>
          <t>Short, central-banker-facing statement of why anchored expectations are the single most important input to inflation forecasting - useful as the practitioner counterpart to the academic papers above</t>
        </is>
      </c>
      <c r="I16" s="3" t="n"/>
      <c r="J16" s="51" t="n"/>
      <c r="K16" s="52" t="n"/>
      <c r="L16" s="52" t="n"/>
      <c r="M16" s="51" t="n"/>
      <c r="N16" s="51" t="n"/>
      <c r="O16" s="52" t="n"/>
      <c r="P16" s="51" t="n"/>
    </row>
    <row r="17" ht="64.05" customHeight="1">
      <c r="A17" s="3" t="inlineStr">
        <is>
          <t>Brazil: Taming Inflation Expectations</t>
        </is>
      </c>
      <c r="B17" s="3" t="inlineStr">
        <is>
          <t>Bevilaqua, A.S., Mesquita, M. &amp; Minella, A.</t>
        </is>
      </c>
      <c r="C17" s="4" t="inlineStr">
        <is>
          <t>2007</t>
        </is>
      </c>
      <c r="D17" s="4" t="n">
        <v>4</v>
      </c>
      <c r="E17" s="5" t="inlineStr">
        <is>
          <t>No</t>
        </is>
      </c>
      <c r="F17" s="3" t="inlineStr">
        <is>
          <t>Paper</t>
        </is>
      </c>
      <c r="G17" s="3" t="inlineStr">
        <is>
          <t>#inflation_expectations_formation_and_anchoring</t>
        </is>
      </c>
      <c r="H17" s="3" t="inlineStr">
        <is>
          <t>Written by then-BCB Deputy Governor (Bevilaqua) and colleagues - the central bank's own account of how it worked to de-anchor expectations from Brazil's inflationary past, a direct practitioner companion to the Coibion-Gorodnichenko-Kamdar survey above</t>
        </is>
      </c>
      <c r="I17" s="3" t="n"/>
      <c r="J17" s="51" t="n"/>
      <c r="K17" s="52" t="n"/>
      <c r="L17" s="52" t="n"/>
      <c r="M17" s="51" t="n"/>
      <c r="N17" s="51" t="n"/>
      <c r="O17" s="52" t="n"/>
      <c r="P17" s="51" t="n"/>
    </row>
    <row r="18" ht="64.05" customHeight="1">
      <c r="A18" s="3" t="inlineStr">
        <is>
          <t>What Drives Inflation Expectations in Brazil? Public versus Private Information</t>
        </is>
      </c>
      <c r="B18" s="3" t="inlineStr">
        <is>
          <t>Areosa, W.D.</t>
        </is>
      </c>
      <c r="C18" s="4" t="inlineStr">
        <is>
          <t>2016</t>
        </is>
      </c>
      <c r="D18" s="4" t="n">
        <v>3</v>
      </c>
      <c r="E18" s="5" t="inlineStr">
        <is>
          <t>No</t>
        </is>
      </c>
      <c r="F18" s="3" t="inlineStr">
        <is>
          <t>Paper</t>
        </is>
      </c>
      <c r="G18" s="3" t="inlineStr">
        <is>
          <t>#inflation_expectations_formation_and_anchoring</t>
        </is>
      </c>
      <c r="H18" s="3" t="inlineStr">
        <is>
          <t>Decomposes Brazilian survey expectations (Focus) into the public-information and private-information components identified in the sticky-information/rational-inattention theory above - a direct empirical test of that theory on Brazilian data</t>
        </is>
      </c>
      <c r="I18" s="3" t="n"/>
      <c r="J18" s="51" t="n"/>
      <c r="K18" s="52" t="n"/>
      <c r="L18" s="52" t="n"/>
      <c r="M18" s="51" t="n"/>
      <c r="N18" s="51" t="n"/>
      <c r="O18" s="52" t="n"/>
      <c r="P18" s="51" t="n"/>
    </row>
    <row r="19" ht="79.05" customHeight="1">
      <c r="A19" s="3" t="inlineStr">
        <is>
          <t>Empirical Findings on Inflation Expectations in Brazil: A Survey</t>
        </is>
      </c>
      <c r="B19" s="3" t="inlineStr">
        <is>
          <t>Gaglianone, W.P.</t>
        </is>
      </c>
      <c r="C19" s="4" t="inlineStr">
        <is>
          <t>2017</t>
        </is>
      </c>
      <c r="D19" s="4" t="n">
        <v>4</v>
      </c>
      <c r="E19" s="5" t="inlineStr">
        <is>
          <t>No</t>
        </is>
      </c>
      <c r="F19" s="3" t="inlineStr">
        <is>
          <t>Paper</t>
        </is>
      </c>
      <c r="G19" s="3" t="inlineStr">
        <is>
          <t>#inflation_expectations_formation_and_anchoring</t>
        </is>
      </c>
      <c r="H19" s="3" t="inlineStr">
        <is>
          <t>The single-reference survey of Brazil-specific expectations research (Focus survey properties, anchoring, dispersion, forecaster heterogeneity) - supersedes the need for the previously flagged, unconfirmed Carvalho &amp; Bugarin (2006) citation for this role</t>
        </is>
      </c>
      <c r="I19" s="3" t="n"/>
      <c r="J19" s="51" t="n"/>
      <c r="K19" s="52" t="n"/>
      <c r="L19" s="52" t="n"/>
      <c r="M19" s="51" t="n"/>
      <c r="N19" s="51" t="n"/>
      <c r="O19" s="52" t="n"/>
      <c r="P19" s="51" t="n"/>
    </row>
    <row r="20" ht="49.05" customHeight="1">
      <c r="A20" s="3" t="inlineStr">
        <is>
          <t>O Plano Real e Outros Ensaios</t>
        </is>
      </c>
      <c r="B20" s="3" t="inlineStr">
        <is>
          <t>Franco, G.</t>
        </is>
      </c>
      <c r="C20" s="4" t="inlineStr">
        <is>
          <t>1995</t>
        </is>
      </c>
      <c r="D20" s="4" t="n">
        <v>5</v>
      </c>
      <c r="E20" s="5" t="inlineStr">
        <is>
          <t>No</t>
        </is>
      </c>
      <c r="F20" s="3" t="inlineStr">
        <is>
          <t>Paper/Book</t>
        </is>
      </c>
      <c r="G20" s="3" t="inlineStr">
        <is>
          <t>#real_plan_disinflation</t>
        </is>
      </c>
      <c r="H20" s="3" t="inlineStr">
        <is>
          <t>Written by one of the plan's principal architects — the design logic of the URV as a "virtual currency" transition mechanism, directly operationalizing Arida-Resende (1985)</t>
        </is>
      </c>
      <c r="I20" s="3" t="inlineStr">
        <is>
          <t>Suggested file: plano_real_ensaios (Franco, 1995).pdf</t>
        </is>
      </c>
      <c r="J20" s="51" t="n"/>
      <c r="K20" s="52" t="n"/>
      <c r="L20" s="52" t="n"/>
      <c r="M20" s="51" t="n"/>
      <c r="N20" s="51" t="n"/>
      <c r="O20" s="52" t="n"/>
      <c r="P20" s="51" t="n"/>
    </row>
    <row r="21" ht="34.05" customHeight="1">
      <c r="A21" s="3" t="inlineStr">
        <is>
          <t>O Plano Real: Uma Segunda Avaliacao</t>
        </is>
      </c>
      <c r="B21" s="3" t="inlineStr">
        <is>
          <t>Bacha, E.</t>
        </is>
      </c>
      <c r="C21" s="4" t="inlineStr">
        <is>
          <t>1995</t>
        </is>
      </c>
      <c r="D21" s="4" t="n">
        <v>4</v>
      </c>
      <c r="E21" s="5" t="inlineStr">
        <is>
          <t>No</t>
        </is>
      </c>
      <c r="F21" s="3" t="inlineStr">
        <is>
          <t>Paper</t>
        </is>
      </c>
      <c r="G21" s="3" t="inlineStr">
        <is>
          <t>#real_plan_disinflation</t>
        </is>
      </c>
      <c r="H21" s="3" t="inlineStr">
        <is>
          <t>Independent contemporary assessment from outside the plan's own architects — useful counterweight to Franco's insider account</t>
        </is>
      </c>
      <c r="I21" s="3" t="inlineStr">
        <is>
          <t>Suggested file: plano_real_avaliacao (Bacha, 1995).pdf</t>
        </is>
      </c>
      <c r="J21" s="51" t="n"/>
      <c r="K21" s="52" t="n"/>
      <c r="L21" s="52" t="n"/>
      <c r="M21" s="51" t="n"/>
      <c r="N21" s="51" t="n"/>
      <c r="O21" s="52" t="n"/>
      <c r="P21" s="51" t="n"/>
    </row>
    <row r="22" ht="64.05" customHeight="1">
      <c r="A22" s="3" t="inlineStr">
        <is>
          <t>Brazil's Currency-Based Stabilization: The First Four Years</t>
        </is>
      </c>
      <c r="B22" s="3" t="inlineStr">
        <is>
          <t>Cardoso, E.</t>
        </is>
      </c>
      <c r="C22" s="4" t="inlineStr">
        <is>
          <t>1998</t>
        </is>
      </c>
      <c r="D22" s="4" t="n">
        <v>4</v>
      </c>
      <c r="E22" s="5" t="inlineStr">
        <is>
          <t>No</t>
        </is>
      </c>
      <c r="F22" s="3" t="inlineStr">
        <is>
          <t>Paper (book chapter)</t>
        </is>
      </c>
      <c r="G22" s="3" t="inlineStr">
        <is>
          <t>#real_plan_disinflation</t>
        </is>
      </c>
      <c r="H22" s="3" t="inlineStr">
        <is>
          <t>Places the Real Plan in the comparative Latin American currency-based stabilization literature (alongside Argentina's convertibility) - situates Brazil's specific success/failure modes against regional peers</t>
        </is>
      </c>
      <c r="I22" s="3" t="n"/>
      <c r="J22" s="51" t="n"/>
      <c r="K22" s="52" t="n"/>
      <c r="L22" s="52" t="n"/>
      <c r="M22" s="51" t="n"/>
      <c r="N22" s="51" t="n"/>
      <c r="O22" s="52" t="n"/>
      <c r="P22" s="51" t="n"/>
    </row>
    <row r="23" ht="64.05" customHeight="1">
      <c r="A23" s="3" t="inlineStr">
        <is>
          <t>Brazilian Inflation and the Plano Real</t>
        </is>
      </c>
      <c r="B23" s="3" t="inlineStr">
        <is>
          <t>Sachs, J. &amp; Zini, A.</t>
        </is>
      </c>
      <c r="C23" s="4" t="inlineStr">
        <is>
          <t>1996</t>
        </is>
      </c>
      <c r="D23" s="4" t="n">
        <v>3</v>
      </c>
      <c r="E23" s="5" t="inlineStr">
        <is>
          <t>No</t>
        </is>
      </c>
      <c r="F23" s="3" t="inlineStr">
        <is>
          <t>Paper</t>
        </is>
      </c>
      <c r="G23" s="3" t="inlineStr">
        <is>
          <t>#real_plan_disinflation</t>
        </is>
      </c>
      <c r="H23" s="3" t="inlineStr">
        <is>
          <t>Contemporary international-academic read on the plan shortly after implementation, before the 1999 float - a useful 'what did it look like from outside, before we knew the ending' data point</t>
        </is>
      </c>
      <c r="I23" s="3" t="n"/>
      <c r="J23" s="51" t="n"/>
      <c r="K23" s="52" t="n"/>
      <c r="L23" s="52" t="n"/>
      <c r="M23" s="51" t="n"/>
      <c r="N23" s="51" t="n"/>
      <c r="O23" s="52" t="n"/>
      <c r="P23" s="51" t="n"/>
    </row>
    <row r="24" ht="64.05" customHeight="1">
      <c r="A24" s="3" t="inlineStr">
        <is>
          <t>Low Inflation, Pass-Through, and the Pricing Power of Firms</t>
        </is>
      </c>
      <c r="B24" s="3" t="inlineStr">
        <is>
          <t>Taylor, J.</t>
        </is>
      </c>
      <c r="C24" s="4" t="inlineStr">
        <is>
          <t>2000</t>
        </is>
      </c>
      <c r="D24" s="4" t="n">
        <v>5</v>
      </c>
      <c r="E24" s="5" t="inlineStr">
        <is>
          <t>No</t>
        </is>
      </c>
      <c r="F24" s="3" t="inlineStr">
        <is>
          <t>Paper</t>
        </is>
      </c>
      <c r="G24" s="3" t="inlineStr">
        <is>
          <t>#cost_push_shocks_and_exchange_rate_pass_through</t>
        </is>
      </c>
      <c r="H24" s="3" t="inlineStr">
        <is>
          <t>The classic result that pass-through itself is not structural but regime-dependent - falls with the credibility of the inflation regime, a key link between this cluster and monetary policy credibility</t>
        </is>
      </c>
      <c r="I24" s="3" t="n"/>
      <c r="J24" s="51" t="n"/>
      <c r="K24" s="52" t="n"/>
      <c r="L24" s="52" t="n"/>
      <c r="M24" s="51" t="n"/>
      <c r="N24" s="51" t="n"/>
      <c r="O24" s="52" t="n"/>
      <c r="P24" s="51" t="n"/>
    </row>
    <row r="25" ht="49.05" customHeight="1">
      <c r="A25" s="3" t="inlineStr">
        <is>
          <t>The Pass-Through from Depreciation to Inflation: A Panel Study</t>
        </is>
      </c>
      <c r="B25" s="3" t="inlineStr">
        <is>
          <t>Goldfajn, I. &amp; Werlang, S.</t>
        </is>
      </c>
      <c r="C25" s="4" t="inlineStr">
        <is>
          <t>2000</t>
        </is>
      </c>
      <c r="D25" s="4" t="n">
        <v>5</v>
      </c>
      <c r="E25" s="5" t="inlineStr">
        <is>
          <t>No</t>
        </is>
      </c>
      <c r="F25" s="3" t="inlineStr">
        <is>
          <t>Paper</t>
        </is>
      </c>
      <c r="G25" s="3" t="inlineStr">
        <is>
          <t>#cost_push_shocks_and_exchange_rate_pass_through</t>
        </is>
      </c>
      <c r="H25" s="3" t="inlineStr">
        <is>
          <t>The standard cross-country empirical pass-through study, written by a former BCB director - directly usable for calibrating Brazil-specific pass-through magnitudes and speed</t>
        </is>
      </c>
      <c r="I25" s="3" t="n"/>
      <c r="J25" s="51" t="n"/>
      <c r="K25" s="52" t="n"/>
      <c r="L25" s="52" t="n"/>
      <c r="M25" s="51" t="n"/>
      <c r="N25" s="51" t="n"/>
      <c r="O25" s="52" t="n"/>
      <c r="P25" s="51" t="n"/>
    </row>
    <row r="26" ht="64.05" customHeight="1">
      <c r="A26" s="3" t="inlineStr">
        <is>
          <t>The Macroeconomic Effects of Oil Price Shocks: Why Are the 2000s So Different from the 1970s?</t>
        </is>
      </c>
      <c r="B26" s="3" t="inlineStr">
        <is>
          <t>Blanchard, O. &amp; Gali, J.</t>
        </is>
      </c>
      <c r="C26" s="4" t="inlineStr">
        <is>
          <t>2007</t>
        </is>
      </c>
      <c r="D26" s="4" t="n">
        <v>4</v>
      </c>
      <c r="E26" s="5" t="inlineStr">
        <is>
          <t>No</t>
        </is>
      </c>
      <c r="F26" s="3" t="inlineStr">
        <is>
          <t>Paper</t>
        </is>
      </c>
      <c r="G26" s="3" t="inlineStr">
        <is>
          <t>#cost_push_shocks_and_exchange_rate_pass_through</t>
        </is>
      </c>
      <c r="H26" s="3" t="inlineStr">
        <is>
          <t>Explains why the same size oil shock produced far less inflation in the 2000s than the 1970s (better monetary policy, less real wage rigidity, smaller oil share) - a template for thinking about any commodity-shock pass-through episode</t>
        </is>
      </c>
      <c r="I26" s="3" t="n"/>
      <c r="J26" s="51" t="n"/>
      <c r="K26" s="52" t="n"/>
      <c r="L26" s="52" t="n"/>
      <c r="M26" s="51" t="n"/>
      <c r="N26" s="51" t="n"/>
      <c r="O26" s="52" t="n"/>
      <c r="P26" s="51" t="n"/>
    </row>
    <row r="27" ht="79.05" customHeight="1">
      <c r="A27" s="3" t="inlineStr">
        <is>
          <t>Inflation in Emerging and Developing Economies: Evolution, Drivers, and Policies</t>
        </is>
      </c>
      <c r="B27" s="3" t="inlineStr">
        <is>
          <t>Ha, J., Kose, M.A. &amp; Ohnsorge, F. (eds.)</t>
        </is>
      </c>
      <c r="C27" s="4" t="inlineStr">
        <is>
          <t>2019</t>
        </is>
      </c>
      <c r="D27" s="4" t="n">
        <v>4</v>
      </c>
      <c r="E27" s="5" t="inlineStr">
        <is>
          <t>No</t>
        </is>
      </c>
      <c r="F27" s="3" t="inlineStr">
        <is>
          <t>Book</t>
        </is>
      </c>
      <c r="G27" s="3" t="inlineStr">
        <is>
          <t>#cost_push_shocks_and_exchange_rate_pass_through</t>
        </is>
      </c>
      <c r="H27" s="3" t="inlineStr">
        <is>
          <t>Comprehensive modern EM-focused study of inflation drivers including pass-through and commodity sensitivity; recommended: the chapter on drivers of EM inflation and the chapter on exchange rate pass-through specifically - confirm chapter numbers against ToC</t>
        </is>
      </c>
      <c r="I27" s="3" t="n"/>
      <c r="J27" s="51" t="n"/>
      <c r="K27" s="52" t="n"/>
      <c r="L27" s="52" t="n"/>
      <c r="M27" s="51" t="n"/>
      <c r="N27" s="51" t="n"/>
      <c r="O27" s="52" t="n"/>
      <c r="P27" s="51" t="n"/>
    </row>
    <row r="28" ht="49.05" customHeight="1">
      <c r="A28" s="3" t="inlineStr">
        <is>
          <t>Inertial Inflation and Monetary Reform: Brazil</t>
        </is>
      </c>
      <c r="B28" s="3" t="inlineStr">
        <is>
          <t>Arida, P. &amp; Resende, A.L.</t>
        </is>
      </c>
      <c r="C28" s="4" t="inlineStr">
        <is>
          <t>1985</t>
        </is>
      </c>
      <c r="D28" s="4" t="n">
        <v>5</v>
      </c>
      <c r="E28" s="5" t="inlineStr">
        <is>
          <t>No</t>
        </is>
      </c>
      <c r="F28" s="3" t="inlineStr">
        <is>
          <t>Paper (book chapter)</t>
        </is>
      </c>
      <c r="G28" s="3" t="inlineStr">
        <is>
          <t>#brazilian_inertial_inflation_theory</t>
        </is>
      </c>
      <c r="H28" s="3" t="inlineStr">
        <is>
          <t>THE founding statement of inertial inflation theory and the 'monetary reform' (moeda indexada) proposal that directly inspired the Real Plan's URV mechanism a decade later</t>
        </is>
      </c>
      <c r="I28" s="3" t="n"/>
      <c r="J28" s="51" t="n"/>
      <c r="K28" s="52" t="n"/>
      <c r="L28" s="52" t="n"/>
      <c r="M28" s="51" t="n"/>
      <c r="N28" s="51" t="n"/>
      <c r="O28" s="52" t="n"/>
      <c r="P28" s="51" t="n"/>
    </row>
    <row r="29" ht="64.05" customHeight="1">
      <c r="A29" s="3" t="inlineStr">
        <is>
          <t>A Opera dos Tres Cruzados: 1985-1989</t>
        </is>
      </c>
      <c r="B29" s="3" t="inlineStr">
        <is>
          <t>Modiano, E.</t>
        </is>
      </c>
      <c r="C29" s="4" t="inlineStr">
        <is>
          <t>1988</t>
        </is>
      </c>
      <c r="D29" s="4" t="n">
        <v>4</v>
      </c>
      <c r="E29" s="5" t="inlineStr">
        <is>
          <t>No</t>
        </is>
      </c>
      <c r="F29" s="3" t="inlineStr">
        <is>
          <t>Paper (book chapter)</t>
        </is>
      </c>
      <c r="G29" s="3" t="inlineStr">
        <is>
          <t>#brazilian_inertial_inflation_theory</t>
        </is>
      </c>
      <c r="H29" s="3" t="inlineStr">
        <is>
          <t>The standard retrospective synthesis of the indexation era and the three failed stabilization plans (Cruzado, Bresser, Verao) that preceded the Real Plan - necessary context for why the Real Plan's designers built the URV the way they did</t>
        </is>
      </c>
      <c r="I29" s="3" t="n"/>
      <c r="J29" s="51" t="n"/>
      <c r="K29" s="52" t="n"/>
      <c r="L29" s="52" t="n"/>
      <c r="M29" s="51" t="n"/>
      <c r="N29" s="51" t="n"/>
      <c r="O29" s="52" t="n"/>
      <c r="P29" s="51" t="n"/>
    </row>
    <row r="30" ht="64.05" customHeight="1">
      <c r="A30" s="3" t="inlineStr">
        <is>
          <t>Inflacao: Gradualismo x Tratamento de Choque</t>
        </is>
      </c>
      <c r="B30" s="3" t="inlineStr">
        <is>
          <t>Simonsen, M.H.</t>
        </is>
      </c>
      <c r="C30" s="4" t="inlineStr">
        <is>
          <t>1970</t>
        </is>
      </c>
      <c r="D30" s="4" t="n">
        <v>3</v>
      </c>
      <c r="E30" s="5" t="inlineStr">
        <is>
          <t>No</t>
        </is>
      </c>
      <c r="F30" s="3" t="inlineStr">
        <is>
          <t>Paper</t>
        </is>
      </c>
      <c r="G30" s="3" t="inlineStr">
        <is>
          <t>#brazilian_inertial_inflation_theory</t>
        </is>
      </c>
      <c r="H30" s="3" t="inlineStr">
        <is>
          <t>Earlier, pre-inertial-theory statement of the gradualism-vs-shock debate that inertial theory would later reframe - useful for tracing the intellectual lineage rather than as a standalone reference</t>
        </is>
      </c>
      <c r="I30" s="3" t="n"/>
      <c r="J30" s="51" t="n"/>
      <c r="K30" s="52" t="n"/>
      <c r="L30" s="52" t="n"/>
      <c r="M30" s="51" t="n"/>
      <c r="N30" s="51" t="n"/>
      <c r="O30" s="52" t="n"/>
      <c r="P30" s="51" t="n"/>
    </row>
    <row r="31" ht="49.05" customHeight="1">
      <c r="A31" s="3" t="inlineStr">
        <is>
          <t>Measuring Core Inflation</t>
        </is>
      </c>
      <c r="B31" s="3" t="inlineStr">
        <is>
          <t>Bryan, M. &amp; Cecchetti, S.</t>
        </is>
      </c>
      <c r="C31" s="4" t="inlineStr">
        <is>
          <t>1994</t>
        </is>
      </c>
      <c r="D31" s="4" t="n">
        <v>5</v>
      </c>
      <c r="E31" s="5" t="inlineStr">
        <is>
          <t>No</t>
        </is>
      </c>
      <c r="F31" s="3" t="inlineStr">
        <is>
          <t>Paper</t>
        </is>
      </c>
      <c r="G31" s="3" t="inlineStr">
        <is>
          <t>#inflation_measurement_and_core_measures</t>
        </is>
      </c>
      <c r="H31" s="3" t="inlineStr">
        <is>
          <t>The founding statement of the trimmed-mean approach to core inflation - the statistical logic behind most central banks' (including BCB's) nucleo methodologies</t>
        </is>
      </c>
      <c r="I31" s="3" t="n"/>
      <c r="J31" s="51" t="n"/>
      <c r="K31" s="52" t="n"/>
      <c r="L31" s="52" t="n"/>
      <c r="M31" s="51" t="n"/>
      <c r="N31" s="51" t="n"/>
      <c r="O31" s="52" t="n"/>
      <c r="P31" s="51" t="n"/>
    </row>
    <row r="32" ht="64.05" customHeight="1">
      <c r="A32" s="3" t="inlineStr">
        <is>
          <t>Core Inflation: Measurement Issues in Theory and Practice</t>
        </is>
      </c>
      <c r="B32" s="3" t="inlineStr">
        <is>
          <t>Silver, M.</t>
        </is>
      </c>
      <c r="C32" s="4" t="inlineStr">
        <is>
          <t>2007</t>
        </is>
      </c>
      <c r="D32" s="4" t="n">
        <v>3</v>
      </c>
      <c r="E32" s="5" t="inlineStr">
        <is>
          <t>No</t>
        </is>
      </c>
      <c r="F32" s="3" t="inlineStr">
        <is>
          <t>Paper</t>
        </is>
      </c>
      <c r="G32" s="3" t="inlineStr">
        <is>
          <t>#inflation_measurement_and_core_measures</t>
        </is>
      </c>
      <c r="H32" s="3" t="inlineStr">
        <is>
          <t>Practitioner-oriented survey of the full menu of core-inflation methodologies (exclusion-based, trimmed mean, weighted median) with their respective failure modes - useful as a single reference covering the alternatives to Bryan-Cecchetti</t>
        </is>
      </c>
      <c r="I32" s="3" t="n"/>
      <c r="J32" s="51" t="n"/>
      <c r="K32" s="52" t="n"/>
      <c r="L32" s="52" t="n"/>
      <c r="M32" s="51" t="n"/>
      <c r="N32" s="51" t="n"/>
      <c r="O32" s="52" t="n"/>
      <c r="P32" s="51" t="n"/>
    </row>
    <row r="33" ht="49.05" customHeight="1">
      <c r="A33" s="3" t="inlineStr">
        <is>
          <t>Inflation Targeting in Brazil: An Empirical Study of Core Inflation</t>
        </is>
      </c>
      <c r="B33" s="3" t="inlineStr">
        <is>
          <t>Figueiredo, F. &amp; Fachada, P.</t>
        </is>
      </c>
      <c r="C33" s="4" t="inlineStr">
        <is>
          <t>2002</t>
        </is>
      </c>
      <c r="D33" s="4" t="n">
        <v>3</v>
      </c>
      <c r="E33" s="5" t="inlineStr">
        <is>
          <t>No</t>
        </is>
      </c>
      <c r="F33" s="3" t="inlineStr">
        <is>
          <t>Paper</t>
        </is>
      </c>
      <c r="G33" s="3" t="inlineStr">
        <is>
          <t>#inflation_measurement_and_core_measures</t>
        </is>
      </c>
      <c r="H33" s="3" t="inlineStr">
        <is>
          <t>BCB's own early methodological documentation of its core measures - historical baseline, now largely superseded in practice by da Gama Machado (2024) below</t>
        </is>
      </c>
      <c r="I33" s="3" t="n"/>
      <c r="J33" s="51" t="n"/>
      <c r="K33" s="52" t="n"/>
      <c r="L33" s="52" t="n"/>
      <c r="M33" s="51" t="n"/>
      <c r="N33" s="51" t="n"/>
      <c r="O33" s="52" t="n"/>
      <c r="P33" s="51" t="n"/>
    </row>
    <row r="34" ht="79.05" customHeight="1">
      <c r="A34" s="3" t="inlineStr">
        <is>
          <t>Core Inflation in Brazil: Past and Present</t>
        </is>
      </c>
      <c r="B34" s="3" t="inlineStr">
        <is>
          <t>da Gama Machado, V.</t>
        </is>
      </c>
      <c r="C34" s="4" t="inlineStr">
        <is>
          <t>2024</t>
        </is>
      </c>
      <c r="D34" s="4" t="n">
        <v>5</v>
      </c>
      <c r="E34" s="5" t="inlineStr">
        <is>
          <t>No</t>
        </is>
      </c>
      <c r="F34" s="3" t="inlineStr">
        <is>
          <t>Paper</t>
        </is>
      </c>
      <c r="G34" s="3" t="inlineStr">
        <is>
          <t>#inflation_measurement_and_core_measures</t>
        </is>
      </c>
      <c r="H34" s="3" t="inlineStr">
        <is>
          <t>The current, authoritative account of how BCB actually constructs and uses its nucleo measures today - the necessary primary reference for whatever nucleos series domain/db/brasil/bcb/inflacao.py ingests, directly superseding Figueiredo &amp; Fachada (2002) as the operative methodology document</t>
        </is>
      </c>
      <c r="I34" s="3" t="n"/>
      <c r="J34" s="51" t="n"/>
      <c r="K34" s="52" t="n"/>
      <c r="L34" s="52" t="n"/>
      <c r="M34" s="51" t="n"/>
      <c r="N34" s="51" t="n"/>
      <c r="O34" s="52" t="n"/>
      <c r="P34" s="51" t="n"/>
    </row>
    <row r="35" ht="139.05" customHeight="1">
      <c r="A35" s="3" t="inlineStr">
        <is>
          <t>Nucleos de Inflacao e Outras Series Analiticas Derivadas do IPCA: Metodologia Consolidada</t>
        </is>
      </c>
      <c r="B35" s="3" t="inlineStr">
        <is>
          <t>Banco Central do Brasil</t>
        </is>
      </c>
      <c r="C35" s="4" t="inlineStr">
        <is>
          <t>2025</t>
        </is>
      </c>
      <c r="D35" s="4" t="n">
        <v>5</v>
      </c>
      <c r="E35" s="5" t="inlineStr">
        <is>
          <t>No</t>
        </is>
      </c>
      <c r="F35" s="3" t="inlineStr">
        <is>
          <t>Paper (technical note)</t>
        </is>
      </c>
      <c r="G35" s="3" t="inlineStr">
        <is>
          <t>#inflation_measurement_and_core_measures</t>
        </is>
      </c>
      <c r="H35" s="3" t="inlineStr">
        <is>
          <t>Supersedes da Gama Machado (2024) for code-level detail - consolidates the exact SGS codes and calculation methodology for every IPCA-derived analytical series BCB publishes (administered/free, tradable/non-tradable, all 8+ core measures, diffusion), extends histories back to Jan/1991, and introduces two previously RPM-box-only series (EX3 Servicos, EX3 Industriais - 'underlying services'/'underlying industrial goods') into SGS for the first time. Directly informs inflation_data_inventory.md Section 1's gap findings</t>
        </is>
      </c>
      <c r="I35" s="3" t="n"/>
      <c r="J35" s="51" t="n"/>
      <c r="K35" s="52" t="n"/>
      <c r="L35" s="52" t="n"/>
      <c r="M35" s="51" t="n"/>
      <c r="N35" s="51" t="n"/>
      <c r="O35" s="52" t="n"/>
      <c r="P35" s="51" t="n"/>
    </row>
    <row r="36" ht="94.05" customHeight="1">
      <c r="A36" s="3" t="inlineStr">
        <is>
          <t>Forecasting Brazilian Inflation Using a Large Data Set</t>
        </is>
      </c>
      <c r="B36" s="3" t="inlineStr">
        <is>
          <t>Figueiredo, F.M.R.</t>
        </is>
      </c>
      <c r="C36" s="4" t="inlineStr">
        <is>
          <t>2010</t>
        </is>
      </c>
      <c r="D36" s="4" t="n">
        <v>3</v>
      </c>
      <c r="E36" s="5" t="inlineStr">
        <is>
          <t>No</t>
        </is>
      </c>
      <c r="F36" s="3" t="inlineStr">
        <is>
          <t>Paper</t>
        </is>
      </c>
      <c r="G36" s="3" t="inlineStr">
        <is>
          <t>#inflation_measurement_and_core_measures</t>
        </is>
      </c>
      <c r="H36" s="3" t="inlineStr">
        <is>
          <t>The applied forecasting-methodology complement to the measurement papers above - tests whether large-dataset/factor-model approaches beat standard Phillips-curve and VAR forecasts for Brazilian inflation; more applied than theoretical, but directly relevant to how BCB's own forecasting practice evolved a decade after Figueiredo &amp; Fachada (2002)</t>
        </is>
      </c>
      <c r="I36" s="3" t="n"/>
      <c r="J36" s="51" t="n"/>
      <c r="K36" s="52" t="n"/>
      <c r="L36" s="52" t="n"/>
      <c r="M36" s="51" t="n"/>
      <c r="N36" s="51" t="n"/>
      <c r="O36" s="52" t="n"/>
      <c r="P36" s="51" t="n"/>
    </row>
    <row r="37" ht="64.05" customHeight="1">
      <c r="A37" s="3" t="inlineStr">
        <is>
          <t>Some Unpleasant Monetarist Arithmetic</t>
        </is>
      </c>
      <c r="B37" s="3" t="inlineStr">
        <is>
          <t>Sargent, T. &amp; Wallace, N.</t>
        </is>
      </c>
      <c r="C37" s="4" t="inlineStr">
        <is>
          <t>1981</t>
        </is>
      </c>
      <c r="D37" s="4" t="n">
        <v>5</v>
      </c>
      <c r="E37" s="5" t="inlineStr">
        <is>
          <t>No</t>
        </is>
      </c>
      <c r="F37" s="3" t="inlineStr">
        <is>
          <t>Paper</t>
        </is>
      </c>
      <c r="G37" s="3" t="inlineStr">
        <is>
          <t>#fiscal_theory_of_the_price_level</t>
        </is>
      </c>
      <c r="H37" s="3" t="inlineStr">
        <is>
          <t>The founding result: under a binding fiscal constraint, tighter money today can mean more money creation (and inflation) later - the direct theoretical ancestor of the fiscal dominance concept used throughout Brazil-specific monetary policy analysis</t>
        </is>
      </c>
      <c r="I37" s="3" t="n"/>
      <c r="J37" s="51" t="n"/>
      <c r="K37" s="52" t="n"/>
      <c r="L37" s="52" t="n"/>
      <c r="M37" s="51" t="n"/>
      <c r="N37" s="51" t="n"/>
      <c r="O37" s="52" t="n"/>
      <c r="P37" s="51" t="n"/>
    </row>
    <row r="38" ht="79.05" customHeight="1">
      <c r="A38" s="3" t="inlineStr">
        <is>
          <t>Equilibria under 'Active' and 'Passive' Monetary and Fiscal Policy</t>
        </is>
      </c>
      <c r="B38" s="3" t="inlineStr">
        <is>
          <t>Leeper, E.</t>
        </is>
      </c>
      <c r="C38" s="4" t="inlineStr">
        <is>
          <t>1991</t>
        </is>
      </c>
      <c r="D38" s="4" t="n">
        <v>5</v>
      </c>
      <c r="E38" s="5" t="inlineStr">
        <is>
          <t>No</t>
        </is>
      </c>
      <c r="F38" s="3" t="inlineStr">
        <is>
          <t>Paper</t>
        </is>
      </c>
      <c r="G38" s="3" t="inlineStr">
        <is>
          <t>#fiscal_theory_of_the_price_level</t>
        </is>
      </c>
      <c r="H38" s="3" t="inlineStr">
        <is>
          <t>Formalizes the active/passive policy-mix taxonomy that determines whether the price level is pinned down by monetary or fiscal policy - the standard modern vocabulary (still used in BCB/market commentary on 'fiscal dominance risk') comes from this paper</t>
        </is>
      </c>
      <c r="I38" s="3" t="n"/>
      <c r="J38" s="51" t="n"/>
      <c r="K38" s="52" t="n"/>
      <c r="L38" s="52" t="n"/>
      <c r="M38" s="51" t="n"/>
      <c r="N38" s="51" t="n"/>
      <c r="O38" s="52" t="n"/>
      <c r="P38" s="51" t="n"/>
    </row>
    <row r="39" ht="64.05" customHeight="1">
      <c r="A39" s="3" t="inlineStr">
        <is>
          <t>Fiscal Requirements for Price Stability</t>
        </is>
      </c>
      <c r="B39" s="3" t="inlineStr">
        <is>
          <t>Woodford, M.</t>
        </is>
      </c>
      <c r="C39" s="4" t="inlineStr">
        <is>
          <t>2001</t>
        </is>
      </c>
      <c r="D39" s="4" t="n">
        <v>4</v>
      </c>
      <c r="E39" s="5" t="inlineStr">
        <is>
          <t>No</t>
        </is>
      </c>
      <c r="F39" s="3" t="inlineStr">
        <is>
          <t>Paper</t>
        </is>
      </c>
      <c r="G39" s="3" t="inlineStr">
        <is>
          <t>#fiscal_theory_of_the_price_level</t>
        </is>
      </c>
      <c r="H39" s="3" t="inlineStr">
        <is>
          <t>Accessible synthesis and defense of the Fiscal Theory of the Price Level (FTPL) from monetary policy's leading NK theorist - useful bridge between the FTPL literature and the NK apparatus already in monetary_policy_bibliography_candidates.md</t>
        </is>
      </c>
      <c r="I39" s="3" t="n"/>
      <c r="J39" s="51" t="n"/>
      <c r="K39" s="52" t="n"/>
      <c r="L39" s="52" t="n"/>
      <c r="M39" s="51" t="n"/>
      <c r="N39" s="51" t="n"/>
      <c r="O39" s="52" t="n"/>
      <c r="P39" s="51" t="n"/>
    </row>
    <row r="40" ht="64.05" customHeight="1">
      <c r="A40" s="3" t="inlineStr">
        <is>
          <t>Understanding U.S. Inflation During the COVID Era</t>
        </is>
      </c>
      <c r="B40" s="3" t="inlineStr">
        <is>
          <t>Ball, L., Leigh, D. &amp; Mishkin, F.</t>
        </is>
      </c>
      <c r="C40" s="4" t="inlineStr">
        <is>
          <t>2022</t>
        </is>
      </c>
      <c r="D40" s="4" t="n">
        <v>5</v>
      </c>
      <c r="E40" s="5" t="inlineStr">
        <is>
          <t>No</t>
        </is>
      </c>
      <c r="F40" s="3" t="inlineStr">
        <is>
          <t>Paper</t>
        </is>
      </c>
      <c r="G40" s="3" t="inlineStr">
        <is>
          <t>#post_pandemic_inflation_surge</t>
        </is>
      </c>
      <c r="H40" s="3" t="inlineStr">
        <is>
          <t>The most-cited early decomposition of the 2021-22 US inflation surge into demand, supply, and expectations components - the template most later country-specific decompositions (including any Brazil-specific one the agent might later want) follow</t>
        </is>
      </c>
      <c r="I40" s="3" t="n"/>
      <c r="J40" s="51" t="n"/>
      <c r="K40" s="52" t="n"/>
      <c r="L40" s="52" t="n"/>
      <c r="M40" s="51" t="n"/>
      <c r="N40" s="51" t="n"/>
      <c r="O40" s="52" t="n"/>
      <c r="P40" s="51" t="n"/>
    </row>
    <row r="41" ht="64.05" customHeight="1">
      <c r="A41" s="3" t="inlineStr">
        <is>
          <t>What Caused the US Pandemic-Era Inflation?</t>
        </is>
      </c>
      <c r="B41" s="3" t="inlineStr">
        <is>
          <t>Bernanke, B. &amp; Blanchard, O.</t>
        </is>
      </c>
      <c r="C41" s="4" t="inlineStr">
        <is>
          <t>2023</t>
        </is>
      </c>
      <c r="D41" s="4" t="n">
        <v>5</v>
      </c>
      <c r="E41" s="5" t="inlineStr">
        <is>
          <t>No</t>
        </is>
      </c>
      <c r="F41" s="3" t="inlineStr">
        <is>
          <t>Paper</t>
        </is>
      </c>
      <c r="G41" s="3" t="inlineStr">
        <is>
          <t>#post_pandemic_inflation_surge</t>
        </is>
      </c>
      <c r="H41" s="3" t="inlineStr">
        <is>
          <t>The most authoritative single retrospective, by two of the field's most senior figures - quantifies the relative roles of labor market tightness, goods-sector supply shocks, and energy/food prices</t>
        </is>
      </c>
      <c r="I41" s="3" t="n"/>
      <c r="J41" s="51" t="n"/>
      <c r="K41" s="52" t="n"/>
      <c r="L41" s="52" t="n"/>
      <c r="M41" s="51" t="n"/>
      <c r="N41" s="51" t="n"/>
      <c r="O41" s="52" t="n"/>
      <c r="P41" s="51" t="n"/>
    </row>
    <row r="42" ht="64.05" customHeight="1">
      <c r="A42" s="3" t="inlineStr">
        <is>
          <t>Global Supply Chain Pressures, International Trade, and Inflation</t>
        </is>
      </c>
      <c r="B42" s="3" t="inlineStr">
        <is>
          <t>di Giovanni, J., Kalemli-Ozcan, S., Silva, A. &amp; Yildirim, M.</t>
        </is>
      </c>
      <c r="C42" s="4" t="inlineStr">
        <is>
          <t>2022</t>
        </is>
      </c>
      <c r="D42" s="4" t="n">
        <v>4</v>
      </c>
      <c r="E42" s="5" t="inlineStr">
        <is>
          <t>No</t>
        </is>
      </c>
      <c r="F42" s="3" t="inlineStr">
        <is>
          <t>Paper</t>
        </is>
      </c>
      <c r="G42" s="3" t="inlineStr">
        <is>
          <t>#post_pandemic_inflation_surge</t>
        </is>
      </c>
      <c r="H42" s="3" t="inlineStr">
        <is>
          <t>The supply-chain-specific piece of the 2021-22 puzzle (the companion mechanism to demand-side accounts like Ball-Leigh-Mishkin) - introduces the Global Supply Chain Pressure Index later adopted by the NY Fed</t>
        </is>
      </c>
      <c r="I42" s="3" t="n"/>
      <c r="J42" s="51" t="n"/>
      <c r="K42" s="52" t="n"/>
      <c r="L42" s="52" t="n"/>
      <c r="M42" s="51" t="n"/>
      <c r="N42" s="51" t="n"/>
      <c r="O42" s="52" t="n"/>
      <c r="P42" s="51" t="n"/>
    </row>
    <row r="43" ht="79.05" customHeight="1">
      <c r="A43" s="3" t="inlineStr">
        <is>
          <t>Sellers' Inflation, Profits and Conflict: Why Can Large Firms Hike Prices in an Emergency?</t>
        </is>
      </c>
      <c r="B43" s="3" t="inlineStr">
        <is>
          <t>Weber, I. &amp; Wasner, E.</t>
        </is>
      </c>
      <c r="C43" s="4" t="inlineStr">
        <is>
          <t>2023</t>
        </is>
      </c>
      <c r="D43" s="4" t="n">
        <v>3</v>
      </c>
      <c r="E43" s="5" t="inlineStr">
        <is>
          <t>No</t>
        </is>
      </c>
      <c r="F43" s="3" t="inlineStr">
        <is>
          <t>Paper</t>
        </is>
      </c>
      <c r="G43" s="3" t="inlineStr">
        <is>
          <t>#post_pandemic_inflation_surge</t>
        </is>
      </c>
      <c r="H43" s="3" t="inlineStr">
        <is>
          <t>The 'greedflation'/markup-driven inflation thesis - included specifically as the heterodox counterpoint to the demand/supply decomposition papers above, since the debate over firms' pricing power during the surge is unresolved and directly relevant to reading 2021-23 earnings-call and pass-through data critically</t>
        </is>
      </c>
      <c r="I43" s="3" t="n"/>
      <c r="J43" s="51" t="n"/>
      <c r="K43" s="52" t="n"/>
      <c r="L43" s="52" t="n"/>
      <c r="M43" s="51" t="n"/>
      <c r="N43" s="51" t="n"/>
      <c r="O43" s="52" t="n"/>
      <c r="P43" s="51" t="n"/>
    </row>
    <row r="44" ht="64" customHeight="1">
      <c r="A44" s="51" t="inlineStr">
        <is>
          <t>Em food inflation</t>
        </is>
      </c>
      <c r="B44" s="51" t="inlineStr">
        <is>
          <t>Goldman</t>
        </is>
      </c>
      <c r="C44" s="52" t="n">
        <v>2026</v>
      </c>
      <c r="D44" s="52" t="n"/>
      <c r="E44" s="53" t="inlineStr">
        <is>
          <t>Yes</t>
        </is>
      </c>
      <c r="F44" s="51" t="n"/>
      <c r="G44" s="51" t="n"/>
      <c r="H44" s="51" t="n"/>
      <c r="I44" s="51" t="inlineStr">
        <is>
          <t>Added by ingestion: not in the curated list. Fill in columns A-I and delete this sentence to keep the row.</t>
        </is>
      </c>
      <c r="J44" s="51" t="inlineStr">
        <is>
          <t>em_food_inflation (Goldman, 2026)</t>
        </is>
      </c>
      <c r="K44" s="53" t="inlineStr">
        <is>
          <t>Ingested</t>
        </is>
      </c>
      <c r="L44" s="52" t="inlineStr">
        <is>
          <t>2026-10-20</t>
        </is>
      </c>
      <c r="M44" s="51" t="inlineStr">
        <is>
          <t>reclean (cleaner change)</t>
        </is>
      </c>
      <c r="N44" s="51" t="n"/>
      <c r="O44" s="52" t="inlineStr">
        <is>
          <t>Yes</t>
        </is>
      </c>
      <c r="P44" s="51" t="n"/>
    </row>
  </sheetData>
  <autoFilter ref="A1:P44"/>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FF418791"/>
    <outlinePr summaryBelow="1" summaryRight="1"/>
    <pageSetUpPr/>
  </sheetPr>
  <dimension ref="A1:G45"/>
  <sheetViews>
    <sheetView showGridLines="0" zoomScale="70" workbookViewId="0">
      <pane ySplit="1" topLeftCell="A2" activePane="bottomLeft" state="frozen"/>
      <selection pane="bottomLeft" activeCell="A1" sqref="A1"/>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34.05" customHeight="1">
      <c r="A2" s="3" t="inlineStr">
        <is>
          <t>Headline (IPCA, IPCA-15) and diffusion index</t>
        </is>
      </c>
      <c r="B2" s="3" t="inlineStr">
        <is>
          <t>macro_brasil.inflc_agregados · IPCA, IPCA15, IPCA_indice_difusao</t>
        </is>
      </c>
      <c r="C2" s="4" t="n"/>
      <c r="D2" s="4" t="n"/>
      <c r="E2" s="6" t="inlineStr">
        <is>
          <t>Yes</t>
        </is>
      </c>
      <c r="F2" s="3" t="inlineStr">
        <is>
          <t>1. Headline and disaggregated IPCA</t>
        </is>
      </c>
      <c r="G2" s="3" t="inlineStr">
        <is>
          <t>SGS 433 / 7478 / 21379</t>
        </is>
      </c>
    </row>
    <row r="3" ht="34.05" customHeight="1">
      <c r="A3" s="3" t="inlineStr">
        <is>
          <t>Administered vs. free (market) prices</t>
        </is>
      </c>
      <c r="B3" s="3" t="inlineStr">
        <is>
          <t>macro_brasil.inflc_agregados · IPCA_administrado, IPCA_livres</t>
        </is>
      </c>
      <c r="C3" s="4" t="n"/>
      <c r="D3" s="4" t="n"/>
      <c r="E3" s="6" t="inlineStr">
        <is>
          <t>Yes</t>
        </is>
      </c>
      <c r="F3" s="3" t="inlineStr">
        <is>
          <t>1. Headline and disaggregated IPCA</t>
        </is>
      </c>
      <c r="G3" s="3" t="inlineStr">
        <is>
          <t>direct input for cluster 3 (cost-push/pass-through) and cluster 7 (fiscal dominance via administered-price policy)</t>
        </is>
      </c>
    </row>
    <row r="4" ht="49.05" customHeight="1">
      <c r="A4" s="3" t="inlineStr">
        <is>
          <t>By type of good/service (industrial, food, services, durables/semi/non-durables)</t>
        </is>
      </c>
      <c r="B4" s="3" t="inlineStr">
        <is>
          <t>macro_brasil.inflc_agregados · IPCA_industriais, IPCA_alimentacao, IPCA_servicos, IPCA_bens_*</t>
        </is>
      </c>
      <c r="C4" s="4" t="n"/>
      <c r="D4" s="4" t="n"/>
      <c r="E4" s="6" t="inlineStr">
        <is>
          <t>Yes</t>
        </is>
      </c>
      <c r="F4" s="3" t="inlineStr">
        <is>
          <t>1. Headline and disaggregated IPCA</t>
        </is>
      </c>
      <c r="G4" s="3" t="n"/>
    </row>
    <row r="5" ht="49.05" customHeight="1">
      <c r="A5" s="3" t="inlineStr">
        <is>
          <t>By COICOP-style expenditure group (9 groups: food, housing, apparel, transport, communication, health, personal expenses, education, home goods)</t>
        </is>
      </c>
      <c r="B5" s="3" t="inlineStr">
        <is>
          <t>macro_brasil.inflc_agregados · IPCA_grupo_*</t>
        </is>
      </c>
      <c r="C5" s="4" t="n"/>
      <c r="D5" s="4" t="n"/>
      <c r="E5" s="6" t="inlineStr">
        <is>
          <t>Yes</t>
        </is>
      </c>
      <c r="F5" s="3" t="inlineStr">
        <is>
          <t>1. Headline and disaggregated IPCA</t>
        </is>
      </c>
      <c r="G5" s="3" t="n"/>
    </row>
    <row r="6" ht="49.05" customHeight="1">
      <c r="A6" s="3" t="inlineStr">
        <is>
          <t>Core measures (8 methodologies: trimmed means, EX0/EX01/EX02/EX03, DP, P55, EXFE)</t>
        </is>
      </c>
      <c r="B6" s="3" t="inlineStr">
        <is>
          <t>macro_brasil.inflc_agregados · IPCA_nucleo_*</t>
        </is>
      </c>
      <c r="C6" s="4" t="n"/>
      <c r="D6" s="4" t="n"/>
      <c r="E6" s="6" t="inlineStr">
        <is>
          <t>Yes</t>
        </is>
      </c>
      <c r="F6" s="3" t="inlineStr">
        <is>
          <t>1. Headline and disaggregated IPCA</t>
        </is>
      </c>
      <c r="G6" s="3" t="inlineStr">
        <is>
          <t>directly operationalizes cluster 6 (#inflation_measurement_and_core_measures) — EXFE and the trimmed-means series are the two BCB currently emphasizes in its own communication</t>
        </is>
      </c>
    </row>
    <row r="7" ht="49.05" customHeight="1">
      <c r="A7" s="3" t="inlineStr">
        <is>
          <t>domain/db/brasil/ibge/subcomponents.py</t>
        </is>
      </c>
      <c r="B7" s="3" t="n"/>
      <c r="C7" s="4" t="n"/>
      <c r="D7" s="4" t="n"/>
      <c r="E7" s="9" t="inlineStr">
        <is>
          <t>WIP</t>
        </is>
      </c>
      <c r="F7" s="3" t="inlineStr">
        <is>
          <t>2. IPCA sub-item detail (diffusion/breadth decomposition)</t>
        </is>
      </c>
      <c r="G7" s="3" t="inlineStr">
        <is>
          <t>Work-in-progress script targeting IBGE aggregado 7060 (hundreds of IPCA sub-items via classification 315) — already flagged as a pending item in CLAUDE.md ("Média prioridade")</t>
        </is>
      </c>
    </row>
    <row r="8" ht="49.05" customHeight="1">
      <c r="A8" s="3" t="inlineStr">
        <is>
          <t>Serviços ex-passagem aérea</t>
        </is>
      </c>
      <c r="B8" s="3" t="n"/>
      <c r="C8" s="4" t="n"/>
      <c r="D8" s="4" t="n"/>
      <c r="E8" s="5" t="inlineStr">
        <is>
          <t>No</t>
        </is>
      </c>
      <c r="F8" s="3" t="inlineStr">
        <is>
          <t>2b. Full services-inflation sub-decomposition family (June 2024 RPM boxes)</t>
        </is>
      </c>
      <c r="G8" s="3" t="inlineStr">
        <is>
          <t>services excluding the airfare sub-item (chosen for its volatility) · IPCA weight 34.6-34.8%</t>
        </is>
      </c>
    </row>
    <row r="9" ht="49.05" customHeight="1">
      <c r="A9" s="3" t="inlineStr">
        <is>
          <t>Serviços — MS / DP / P55</t>
        </is>
      </c>
      <c r="B9" s="3" t="n"/>
      <c r="C9" s="4" t="n"/>
      <c r="D9" s="4" t="n"/>
      <c r="E9" s="5" t="inlineStr">
        <is>
          <t>No</t>
        </is>
      </c>
      <c r="F9" s="3" t="inlineStr">
        <is>
          <t>2b. Full services-inflation sub-decomposition family (June 2024 RPM boxes)</t>
        </is>
      </c>
      <c r="G9" s="3" t="inlineStr">
        <is>
          <t>the three general core-inflation methodologies (§1) applied to the services segment only, not the whole basket · IPCA weight n/a</t>
        </is>
      </c>
    </row>
    <row r="10" ht="49.05" customHeight="1">
      <c r="A10" s="3" t="inlineStr">
        <is>
          <t>Serviços ligados à ociosidade</t>
        </is>
      </c>
      <c r="B10" s="3" t="n"/>
      <c r="C10" s="4" t="n"/>
      <c r="D10" s="4" t="n"/>
      <c r="E10" s="5" t="inlineStr">
        <is>
          <t>No</t>
        </is>
      </c>
      <c r="F10" s="3" t="inlineStr">
        <is>
          <t>2b. Full services-inflation sub-decomposition family (June 2024 RPM boxes)</t>
        </is>
      </c>
      <c r="G10" s="3" t="inlineStr">
        <is>
          <t>sub-items classified as sensitive to economic slack · IPCA weight not stated</t>
        </is>
      </c>
    </row>
    <row r="11" ht="49.05" customHeight="1">
      <c r="A11" s="3" t="inlineStr">
        <is>
          <t>Serviços ligados à inércia</t>
        </is>
      </c>
      <c r="B11" s="3" t="n"/>
      <c r="C11" s="4" t="n"/>
      <c r="D11" s="4" t="n"/>
      <c r="E11" s="5" t="inlineStr">
        <is>
          <t>No</t>
        </is>
      </c>
      <c r="F11" s="3" t="inlineStr">
        <is>
          <t>2b. Full services-inflation sub-decomposition family (June 2024 RPM boxes)</t>
        </is>
      </c>
      <c r="G11" s="3" t="inlineStr">
        <is>
          <t>sub-items classified as inertia-sensitive · IPCA weight not stated</t>
        </is>
      </c>
    </row>
    <row r="12" ht="49.05" customHeight="1">
      <c r="A12" s="3" t="inlineStr">
        <is>
          <t>Serviços intensivos em trabalho</t>
        </is>
      </c>
      <c r="B12" s="3" t="n"/>
      <c r="C12" s="4" t="n"/>
      <c r="D12" s="4" t="n"/>
      <c r="E12" s="5" t="inlineStr">
        <is>
          <t>No</t>
        </is>
      </c>
      <c r="F12" s="3" t="inlineStr">
        <is>
          <t>2b. Full services-inflation sub-decomposition family (June 2024 RPM boxes)</t>
        </is>
      </c>
      <c r="G12" s="3" t="inlineStr">
        <is>
          <t>labor-intensive services — not new to 2024, originally defined in a December 2013 RI box; the 2024 box re-analyzes it · IPCA weight 6.1%</t>
        </is>
      </c>
    </row>
    <row r="13" ht="49.05" customHeight="1">
      <c r="A13" s="3" t="inlineStr">
        <is>
          <t>Intensivos em trabalho ex-domésticos</t>
        </is>
      </c>
      <c r="B13" s="3" t="n"/>
      <c r="C13" s="4" t="n"/>
      <c r="D13" s="4" t="n"/>
      <c r="E13" s="5" t="inlineStr">
        <is>
          <t>No</t>
        </is>
      </c>
      <c r="F13" s="3" t="inlineStr">
        <is>
          <t>2b. Full services-inflation sub-decomposition family (June 2024 RPM boxes)</t>
        </is>
      </c>
      <c r="G13" s="3" t="inlineStr">
        <is>
          <t>the above, with domestic-worker sub-items stripped out — this specific cut is new to the 2024 box · IPCA weight 2.8%</t>
        </is>
      </c>
    </row>
    <row r="14" ht="34.05" customHeight="1">
      <c r="A14" s="3" t="inlineStr">
        <is>
          <t>IPCA 12m and 24m — mean, median, std. dev., min, max, number of respondents</t>
        </is>
      </c>
      <c r="B14" s="3" t="inlineStr">
        <is>
          <t>macro_brasil.expc_focus · indicador = 'IPCA', horizonte = '12m'/'24m'</t>
        </is>
      </c>
      <c r="C14" s="4" t="n"/>
      <c r="D14" s="4" t="n"/>
      <c r="E14" s="6" t="inlineStr">
        <is>
          <t>Yes</t>
        </is>
      </c>
      <c r="F14" s="3" t="inlineStr">
        <is>
          <t>3. Inflation expectations (Focus survey)</t>
        </is>
      </c>
      <c r="G14" s="3" t="inlineStr">
        <is>
          <t>2001 → today</t>
        </is>
      </c>
    </row>
    <row r="15" ht="34.05" customHeight="1">
      <c r="A15" s="3" t="inlineStr">
        <is>
          <t>IGP-M 12m — same fields</t>
        </is>
      </c>
      <c r="B15" s="3" t="inlineStr">
        <is>
          <t>macro_brasil.expc_focus · indicador = 'IGP-M', horizonte = '12m'</t>
        </is>
      </c>
      <c r="C15" s="4" t="n"/>
      <c r="D15" s="4" t="n"/>
      <c r="E15" s="6" t="inlineStr">
        <is>
          <t>Yes</t>
        </is>
      </c>
      <c r="F15" s="3" t="inlineStr">
        <is>
          <t>3. Inflation expectations (Focus survey)</t>
        </is>
      </c>
      <c r="G15" s="3" t="n"/>
    </row>
    <row r="16" ht="49.05" customHeight="1">
      <c r="A16" s="3" t="inlineStr">
        <is>
          <t>Real and nominal average income, by formal/informal position and by economic sector</t>
        </is>
      </c>
      <c r="B16" s="3" t="inlineStr">
        <is>
          <t>macro_brasil.mt_pnad · rend_* (e.g. rend_priv_excl_domestico_com_carteira, rend_media_nacional)</t>
        </is>
      </c>
      <c r="C16" s="4" t="n"/>
      <c r="D16" s="4" t="n"/>
      <c r="E16" s="6" t="inlineStr">
        <is>
          <t>Yes</t>
        </is>
      </c>
      <c r="F16" s="3" t="inlineStr">
        <is>
          <t>6. Wage and labor-cost data</t>
        </is>
      </c>
      <c r="G16" s="3" t="n"/>
    </row>
    <row r="17" ht="34.05" customHeight="1">
      <c r="A17" s="3" t="inlineStr">
        <is>
          <t>Real and nominal aggregate wage bill ("massa de rendimentos")</t>
        </is>
      </c>
      <c r="B17" s="3" t="inlineStr">
        <is>
          <t>macro_brasil.mt_pnad · massa_real_habitual, massa_nominal_habitual</t>
        </is>
      </c>
      <c r="C17" s="4" t="n"/>
      <c r="D17" s="4" t="n"/>
      <c r="E17" s="6" t="inlineStr">
        <is>
          <t>Yes</t>
        </is>
      </c>
      <c r="F17" s="3" t="inlineStr">
        <is>
          <t>6. Wage and labor-cost data</t>
        </is>
      </c>
      <c r="G17" s="3" t="inlineStr">
        <is>
          <t>directly usable for a wage-price-spiral read (bibliography cluster 8, Weber &amp; Wasner) without waiting on a separate labor/activity agent</t>
        </is>
      </c>
    </row>
    <row r="18" ht="49.05" customHeight="1">
      <c r="A18" s="3" t="inlineStr">
        <is>
          <t>US CPI 12m, consumed inside the rate-differential calculation</t>
        </is>
      </c>
      <c r="B18" s="3" t="inlineStr">
        <is>
          <t>macro_international.diferenciais_juros · cpi_12m_us</t>
        </is>
      </c>
      <c r="C18" s="4" t="inlineStr">
        <is>
          <t>~36m rolling (script's default window)</t>
        </is>
      </c>
      <c r="D18" s="4" t="n"/>
      <c r="E18" s="6" t="inlineStr">
        <is>
          <t>Yes</t>
        </is>
      </c>
      <c r="F18" s="3" t="inlineStr">
        <is>
          <t>7. International comparison: Latin America and developed-market inflation (headline and core)</t>
        </is>
      </c>
      <c r="G18" s="3" t="n"/>
    </row>
    <row r="19" ht="229.05" customHeight="1">
      <c r="A19" s="3" t="inlineStr">
        <is>
          <t>IPCA sub-item detail (IBGE 7060) stuck in WIP — needed for any real diffusion/breadth decomposition</t>
        </is>
      </c>
      <c r="B19" s="3" t="n"/>
      <c r="C19" s="4" t="n"/>
      <c r="D19" s="4" t="inlineStr">
        <is>
          <t>High</t>
        </is>
      </c>
      <c r="E19" s="5" t="inlineStr">
        <is>
          <t>No</t>
        </is>
      </c>
      <c r="F19" s="3" t="inlineStr">
        <is>
          <t>2. IPCA sub-item detail (diffusion/breadth decomposition)</t>
        </is>
      </c>
      <c r="G19" s="3" t="inlineStr">
        <is>
          <t>This is conceptually distinct from IPCA_indice_difusao in §1 — the SGS series is BCB's own single summary diffusion statistic (% of items rising), while aggregado 7060 is the underlying item-level granularity needed to compute your own breadth/diffusion measures, replicate a Coibion-Gorodnichenko-style decomposition, or identify which specific sub-items are driving a given month's surprise. Blockers to production: script still uses the old ibge_get(url, start, end, freq) connector rather than the current connectors/ibge.py v3 client; no schema defined yet; classification-code list (315[...]) hardcoded as a raw URL rather than passed as a parameter. Impact if left unbuilt: the agent can say "diffusion is rising" (from the one SGS series) but not "diffusion is rising, driven specifically by services ex-education" — a materially weaker read during exactly the kind of episode (broad-based vs. narrow/idiosyncratic price pressure) the diffusion literature is meant to distinguish.</t>
        </is>
      </c>
    </row>
    <row r="20" ht="139.05" customHeight="1">
      <c r="A20" s="3" t="inlineStr">
        <is>
          <t>EX3 Serviços / EX3 Industriais ("underlying services"/"underlying industrial goods") not ingested — newly available in SGS as of Dec 2025</t>
        </is>
      </c>
      <c r="B20" s="3" t="n"/>
      <c r="C20" s="4" t="n"/>
      <c r="D20" s="4" t="inlineStr">
        <is>
          <t>High</t>
        </is>
      </c>
      <c r="E20" s="5" t="inlineStr">
        <is>
          <t>No</t>
        </is>
      </c>
      <c r="F20" s="3" t="inlineStr">
        <is>
          <t>1. Headline and disaggregated IPCA</t>
        </is>
      </c>
      <c r="G20" s="3" t="inlineStr">
        <is>
          <t>Missing EX3 Serviços (SGS 29683) and EX3 Industriais (SGS 29684) — brand new as of this note, previously analyzed in Relatório de Política Monetária boxes (RI set/2016 for services, RI jun/2018 for industrials) but not available in SGS until now. These are BCB's own "underlying services" and "underlying industrial goods" indicators (the services/goods components of Núcleo EX3) — the closest official BCB analogue to the "supercore services" concept used in the U.S. debate (cluster 1's Hooper-Mishkin-Sufi discussion) and a direct, higher-priority addition given the recency of their publication.</t>
        </is>
      </c>
    </row>
    <row r="21" ht="169.05" customHeight="1">
      <c r="A21" s="3" t="inlineStr">
        <is>
          <t>No realized IGP-M/IGP-DI series (only the Focus expectation exists)</t>
        </is>
      </c>
      <c r="B21" s="3" t="n"/>
      <c r="C21" s="4" t="n"/>
      <c r="D21" s="4" t="inlineStr">
        <is>
          <t>Medium</t>
        </is>
      </c>
      <c r="E21" s="5" t="inlineStr">
        <is>
          <t>No</t>
        </is>
      </c>
      <c r="F21" s="3" t="inlineStr">
        <is>
          <t>4. Wholesale/general price index (IGP-M, IGP-DI)</t>
        </is>
      </c>
      <c r="G21" s="3" t="inlineStr">
        <is>
          <t>No realized IGP-M or IGP-DI series is stored anywhere in the database — only the Focus expectation for IGP-M (§3). This matters specifically for Brazil's indexation cluster (bibliography cluster 4/8): a meaningful share of rent contracts, some regulated tariffs, and a handful of financial contracts are still indexed to IGP-M rather than IPCA, so a gap between the two series is itself a live signal of relative price pressure (commodities/wholesale vs. retail) with direct pass-through implications for future IPCA-administered-price readings. Possible source: FGV (IBRE) publishes IGP-M/IGP-DI directly — not a BCB SGS series, so this would need a new connector rather than reusing connectors/bcb.py. Not yet scoped.</t>
        </is>
      </c>
    </row>
    <row r="22" ht="124.05" customHeight="1">
      <c r="A22" s="3" t="inlineStr">
        <is>
          <t>No producer price index (IPP) — no upstream/pipeline-pressure read</t>
        </is>
      </c>
      <c r="B22" s="3" t="n"/>
      <c r="C22" s="4" t="n"/>
      <c r="D22" s="4" t="inlineStr">
        <is>
          <t>Medium</t>
        </is>
      </c>
      <c r="E22" s="5" t="inlineStr">
        <is>
          <t>No</t>
        </is>
      </c>
      <c r="F22" s="3" t="inlineStr">
        <is>
          <t>5. Producer prices (IPP</t>
        </is>
      </c>
      <c r="G22" s="3" t="inlineStr">
        <is>
          <t>No producer/wholesale price index from IBGE is ingested. This is the standard upstream-pressure series in the cost-push cluster (bibliography cluster 3) — a rise in producer prices ahead of a rise in consumer prices is a classic early-warning read on pipeline inflation pressure that the agent cannot currently form, since it only has the CPI (IPCA) side of the pass-through chain. Possible source: IBGE SIDRA aggregado for IPP (exact aggregado number not confirmed) — could reuse connectors/ibge.py v3 client once identified.</t>
        </is>
      </c>
    </row>
    <row r="23" ht="79.05" customHeight="1">
      <c r="A23" s="3" t="inlineStr">
        <is>
          <t>No Latin America / developed-market headline+core CPI for cross-country comparison</t>
        </is>
      </c>
      <c r="B23" s="3" t="n"/>
      <c r="C23" s="4" t="n"/>
      <c r="D23" s="4" t="inlineStr">
        <is>
          <t>Medium</t>
        </is>
      </c>
      <c r="E23" s="5" t="inlineStr">
        <is>
          <t>No</t>
        </is>
      </c>
      <c r="F23" s="3" t="inlineStr">
        <is>
          <t>7. International comparison: Latin America and developed-market inflation (headline and core)</t>
        </is>
      </c>
      <c r="G23" s="3" t="inlineStr">
        <is>
          <t>Latin America: Mexico, Chile, Colombia — matching the peer set already established in macro_international.cmb_reer, for direct cross-reference against the existing REER series; Peru and Argentina as secondary additions if headline/core CPI is confirmed available on FRED for both.</t>
        </is>
      </c>
    </row>
    <row r="24" ht="364.05" customHeight="1">
      <c r="A24" s="3" t="inlineStr">
        <is>
          <t>Labor-intensive services inflation ("serviços intensivos em trabalho") has no data pipeline at all — bespoke RPM methodology, blocked on §2</t>
        </is>
      </c>
      <c r="B24" s="3" t="n"/>
      <c r="C24" s="4" t="n"/>
      <c r="D24" s="4" t="inlineStr">
        <is>
          <t>Medium</t>
        </is>
      </c>
      <c r="E24" s="5" t="inlineStr">
        <is>
          <t>No</t>
        </is>
      </c>
      <c r="F24" s="3" t="inlineStr">
        <is>
          <t>2a. Labor-intensive services inflation ("serviços intensivos em trabalho")</t>
        </is>
      </c>
      <c r="G24" s="3" t="inlineStr">
        <is>
          <t>BCB's Monetary Policy Report has, in recent years, tracked services inflation reweighted by labor intensity as a direct gauge of domestic demand/labor-market pressure on prices — conceptually the Brazilian analogue to the "supercore services" framing that became prominent in the 2022-23 U.S. debate. This is not published as a standalone SGS series — confirmed by checking BCB's own Nota Técnica nº 57 (Dec 2025), which consolidates every IPCA-derived analytical series BCB currently publishes via SGS and does not include it. Its methodology instead appears only in two Relatório de Política Monetária boxes: "Inflação de serviços reponderada por fatores de produção" and "Dinâmica recente da inflação de serviços," both June 2024. Impact: the agent cannot currently reproduce or track this metric at all — it would need to be built from scratch, by reweighting the item-level services components of the IPCA by their labor intensity (a production-factor classification, not a standard IBGE weight). This is a natural extension of, and blocked by the same prerequisite as, §2 above: it requires the same item-level detail (IBGE aggregado 7060) that subcomponents.py targets but hasn't reached production. Building §2 first would make this a realistic follow-on rather than a separate research project. Possible source for the labor-intensity classification itself: not yet identified — would need to trace how the June 2024 RPM boxes define "labor-intensive" at the item level (likely IBGE's own value-added/production-factor tables, or a BCB-internal mapping); worth extracting directly from the two RPM boxes once prioritized.</t>
        </is>
      </c>
    </row>
    <row r="25" ht="109.05" customHeight="1">
      <c r="A25" s="3" t="inlineStr">
        <is>
          <t>Missing Comercializáveis/Não comercializáveis split, and the misnamed/missing Núcleo MA series (SGS 11426 vs. the currently-ingested MS under SGS 4466)</t>
        </is>
      </c>
      <c r="B25" s="3" t="n"/>
      <c r="C25" s="4" t="n"/>
      <c r="D25" s="4" t="inlineStr">
        <is>
          <t>Low</t>
        </is>
      </c>
      <c r="E25" s="5" t="inlineStr">
        <is>
          <t>No</t>
        </is>
      </c>
      <c r="F25" s="3" t="inlineStr">
        <is>
          <t>1. Headline and disaggregated IPCA</t>
        </is>
      </c>
      <c r="G25" s="3" t="inlineStr">
        <is>
          <t>Missing "Núcleo MA" under its correct, current code: the local script's IPCA_nucleo_medias_aparadas (SGS 4466) is actually Núcleo MS (trimmed mean with smoothing) per NT 57's Table 11, not the generic "médias aparadas" the column name implies — the unsmoothed trimmed mean (Núcleo MA) is a distinct series now published under SGS 11426 and is not ingested at all. Recommend both fixing the misleading column name and adding the missing MA series.</t>
        </is>
      </c>
    </row>
    <row r="26" ht="79.05" customHeight="1">
      <c r="A26" s="3" t="inlineStr">
        <is>
          <t>No per-series inception-date confirmation for the 28 inflacao columns (largely resolved — NT 57 documents Jan/1991 start for most)</t>
        </is>
      </c>
      <c r="B26" s="3" t="n"/>
      <c r="C26" s="4" t="n"/>
      <c r="D26" s="4" t="inlineStr">
        <is>
          <t>Low</t>
        </is>
      </c>
      <c r="E26" s="5" t="inlineStr">
        <is>
          <t>No</t>
        </is>
      </c>
      <c r="F26" s="3" t="inlineStr">
        <is>
          <t>1. Headline and disaggregated IPCA</t>
        </is>
      </c>
      <c r="G26" s="3" t="inlineStr">
        <is>
          <t>No confirmed start date per individual series (the core measures in particular were introduced at different points — the consolidated methodology now backdates most series to Jan/1991, except MS from Dec/1991 and DP from Jan/1995) — low-effort fix now that NT 57 documents the uniform start dates.</t>
        </is>
      </c>
    </row>
    <row r="27" ht="49.05" customHeight="1">
      <c r="A27" s="3" t="inlineStr">
        <is>
          <t>No 3-5y Focus horizon or respondent-type segmentation for expectations</t>
        </is>
      </c>
      <c r="B27" s="3" t="n"/>
      <c r="C27" s="4" t="n"/>
      <c r="D27" s="4" t="inlineStr">
        <is>
          <t>Low</t>
        </is>
      </c>
      <c r="E27" s="5" t="inlineStr">
        <is>
          <t>No</t>
        </is>
      </c>
      <c r="F27" s="3" t="inlineStr">
        <is>
          <t>3. Inflation expectations (Focus survey)</t>
        </is>
      </c>
      <c r="G27" s="3" t="inlineStr">
        <is>
          <t>No 3-year or 5-year-ahead IPCA expectations (Focus does publish beyond 24m for some horizons) — would be useful for a longer-run anchoring read distinct from the 12m/24m already captured.</t>
        </is>
      </c>
    </row>
    <row r="28" ht="109.05" customHeight="1">
      <c r="A28" s="3" t="inlineStr">
        <is>
          <t>No unit labor cost measure (wage growth vs. productivity)</t>
        </is>
      </c>
      <c r="B28" s="3" t="n"/>
      <c r="C28" s="4" t="n"/>
      <c r="D28" s="4" t="inlineStr">
        <is>
          <t>Low</t>
        </is>
      </c>
      <c r="E28" s="5" t="inlineStr">
        <is>
          <t>No</t>
        </is>
      </c>
      <c r="F28" s="3" t="inlineStr">
        <is>
          <t>6. Wage and labor-cost data</t>
        </is>
      </c>
      <c r="G28" s="3" t="inlineStr">
        <is>
          <t>Script: domain/db/brasil/ibge/mt_pnad.py. This table is conceptually "owned" by a future activity/labor agent, but the specific wage-growth series are already sitting in the database today and don't require any new ingestion work for the inflation agent to start using them. Gap: no unit labor cost measure (wage growth relative to productivity) — would need a productivity proxy (e.g. GDP/atv_pib table vs. hours worked from mt_pnad) combined manually; nothing computes this today.</t>
        </is>
      </c>
    </row>
    <row r="29" ht="64.05" customHeight="1">
      <c r="A29" s="3" t="inlineStr">
        <is>
          <t>cpi_12m_us limited to ~36m rolling (same cross-agent gap as FX/monetary policy inventories)</t>
        </is>
      </c>
      <c r="B29" s="3" t="n"/>
      <c r="C29" s="4" t="n"/>
      <c r="D29" s="4" t="inlineStr">
        <is>
          <t>Low</t>
        </is>
      </c>
      <c r="E29" s="5" t="inlineStr">
        <is>
          <t>No</t>
        </is>
      </c>
      <c r="F29" s="3" t="inlineStr">
        <is>
          <t>7. International comparison: Latin America and developed-market inflation (headline and core)</t>
        </is>
      </c>
      <c r="G29" s="3" t="inlineStr">
        <is>
          <t>Developed markets: US (upgrade from the current ~36m byproduct to full history), Euro Area, UK, Japan — the core DM peer set most relevant to the global "low-flation" and post-pandemic-surge narratives already in bibliography clusters 1 and 8.</t>
        </is>
      </c>
    </row>
    <row r="30" ht="94.05" customHeight="1">
      <c r="A30" s="3" t="inlineStr">
        <is>
          <t>Full 12-series services sub-decomposition family (two methodologies, one requiring new IBGE TRU data) — a dedicated research/replication project, not a pipeline addition; do not schedule alongside the rows above</t>
        </is>
      </c>
      <c r="B30" s="3" t="n"/>
      <c r="C30" s="4" t="n"/>
      <c r="D30" s="4" t="inlineStr">
        <is>
          <t>Deferred</t>
        </is>
      </c>
      <c r="E30" s="5" t="inlineStr">
        <is>
          <t>No</t>
        </is>
      </c>
      <c r="F30" s="3" t="inlineStr">
        <is>
          <t>2b. Full services-inflation sub-decomposition family (June 2024 RPM boxes)</t>
        </is>
      </c>
      <c r="G30" s="3" t="inlineStr">
        <is>
          <t>Methodology 2 requires an entirely new data source never touched elsewhere in this codebase — IBGE's TRU (national accounts input-output tables) — plus replicating BCB's own item-to-activity correspondence table (Anexo Tabela A2 in the box) and the 2010-2019 factor-share averaging step. This is a multi-week research/replication project on its own, not a data-pipeline addition.</t>
        </is>
      </c>
    </row>
    <row r="31" ht="94.05" customHeight="1">
      <c r="A31" s="3" t="inlineStr">
        <is>
          <t xml:space="preserve">Missing "tradable vs. non-tradable" split: Comercializáveis (SGS 4447) and Não comercializáveis (SGS 4448) are current, </t>
        </is>
      </c>
      <c r="B31" s="3" t="n"/>
      <c r="C31" s="4" t="n"/>
      <c r="D31" s="4" t="n"/>
      <c r="E31" s="5" t="inlineStr">
        <is>
          <t>No</t>
        </is>
      </c>
      <c r="F31" s="3" t="inlineStr">
        <is>
          <t>1. Headline and disaggregated IPCA</t>
        </is>
      </c>
      <c r="G31" s="3" t="inlineStr">
        <is>
          <t>Missing "tradable vs. non-tradable" split: Comercializáveis (SGS 4447) and Não comercializáveis (SGS 4448) are current, actively-maintained BCB series not currently ingested — a different cut than the administered/free split already owned, useful for cost-push/pass-through analysis (bibliography cluster 3) since tradables are the segment most exposed to FX pass-through and commodity prices.</t>
        </is>
      </c>
    </row>
    <row r="32" ht="49.05" customHeight="1">
      <c r="A32" s="3" t="inlineStr">
        <is>
          <t xml:space="preserve">Both methodologies sit on top of the same item-level IPCA sub-item detail already blocked on §2 (subcomponents.py, IBGE </t>
        </is>
      </c>
      <c r="B32" s="3" t="n"/>
      <c r="C32" s="4" t="n"/>
      <c r="D32" s="4" t="n"/>
      <c r="E32" s="5" t="inlineStr">
        <is>
          <t>No</t>
        </is>
      </c>
      <c r="F32" s="3" t="inlineStr">
        <is>
          <t>2b. Full services-inflation sub-decomposition family (June 2024 RPM boxes)</t>
        </is>
      </c>
      <c r="G32" s="3" t="inlineStr">
        <is>
          <t>Both methodologies sit on top of the same item-level IPCA sub-item detail already blocked on §2 (subcomponents.py, IBGE aggregado 7060) — so neither is buildable until that WIP script reaches production.</t>
        </is>
      </c>
    </row>
    <row r="33" ht="79.05" customHeight="1">
      <c r="A33" s="3" t="inlineStr">
        <is>
          <t>Methodology 1's groupings ("ligados à ociosidade," "ligados à inércia") are BCB-internal classifications of which IPCA s</t>
        </is>
      </c>
      <c r="B33" s="3" t="n"/>
      <c r="C33" s="4" t="n"/>
      <c r="D33" s="4" t="n"/>
      <c r="E33" s="5" t="inlineStr">
        <is>
          <t>No</t>
        </is>
      </c>
      <c r="F33" s="3" t="inlineStr">
        <is>
          <t>2b. Full services-inflation sub-decomposition family (June 2024 RPM boxes)</t>
        </is>
      </c>
      <c r="G33" s="3" t="inlineStr">
        <is>
          <t>Methodology 1's groupings ("ligados à ociosidade," "ligados à inércia") are BCB-internal classifications of which IPCA sub-items belong to each bucket — this mapping isn't published as a downloadable table in either box (would need manual extraction from the box text/appendix, or a request to BCB).</t>
        </is>
      </c>
    </row>
    <row r="34" ht="64.05" customHeight="1">
      <c r="A34" s="3" t="inlineStr">
        <is>
          <t>Given all of this, recommend treating §2b as a candidate for a future, separate research pass once §2 is in production</t>
        </is>
      </c>
      <c r="B34" s="3" t="n"/>
      <c r="C34" s="4" t="n"/>
      <c r="D34" s="4" t="n"/>
      <c r="E34" s="5" t="inlineStr">
        <is>
          <t>No</t>
        </is>
      </c>
      <c r="F34" s="3" t="inlineStr">
        <is>
          <t>2b. Full services-inflation sub-decomposition family (June 2024 RPM boxes)</t>
        </is>
      </c>
      <c r="G34" s="3" t="inlineStr">
        <is>
          <t>Given all of this, recommend treating §2b as a candidate for a future, separate research pass once §2 is in production — not something to schedule alongside the more mechanical gaps elsewhere in this inventory (EX3 Serviços/Industriais, IGP-M, IPP).</t>
        </is>
      </c>
    </row>
    <row r="35" ht="64.05" customHeight="1">
      <c r="A35" s="3" t="inlineStr">
        <is>
          <t>No breakdown by respondent type (banks vs. independent consultancies vs. asset managers)</t>
        </is>
      </c>
      <c r="B35" s="3" t="n"/>
      <c r="C35" s="4" t="n"/>
      <c r="D35" s="4" t="n"/>
      <c r="E35" s="5" t="inlineStr">
        <is>
          <t>No</t>
        </is>
      </c>
      <c r="F35" s="3" t="inlineStr">
        <is>
          <t>3. Inflation expectations (Focus survey)</t>
        </is>
      </c>
      <c r="G35" s="3" t="inlineStr">
        <is>
          <t>No breakdown by respondent type (banks vs. independent consultancies vs. asset managers) — Focus microdata supports this segmentation but it isn't queried; would let the agent distinguish sell-side consensus from buy-side positioning views on inflation.</t>
        </is>
      </c>
    </row>
    <row r="36" ht="49.05" customHeight="1">
      <c r="A36" s="3" t="inlineStr">
        <is>
          <t>No realized IGP-M series to compare the IGP-M expectation against (see §4)</t>
        </is>
      </c>
      <c r="B36" s="3" t="n"/>
      <c r="C36" s="4" t="n"/>
      <c r="D36" s="4" t="n"/>
      <c r="E36" s="5" t="inlineStr">
        <is>
          <t>No</t>
        </is>
      </c>
      <c r="F36" s="3" t="inlineStr">
        <is>
          <t>3. Inflation expectations (Focus survey)</t>
        </is>
      </c>
      <c r="G36" s="3" t="inlineStr">
        <is>
          <t>No realized IGP-M series to compare the IGP-M expectation against (see §4) — currently the agent could track forecast IGP-M but not forecast-vs-actual error.</t>
        </is>
      </c>
    </row>
    <row r="37" ht="64.05" customHeight="1">
      <c r="A37" s="3" t="inlineStr">
        <is>
          <t>Output gap estimate</t>
        </is>
      </c>
      <c r="B37" s="3" t="n"/>
      <c r="C37" s="4" t="n"/>
      <c r="D37" s="4" t="n"/>
      <c r="E37" s="8" t="inlineStr">
        <is>
          <t>Needs agent</t>
        </is>
      </c>
      <c r="F37" s="3" t="inlineStr">
        <is>
          <t>Tier 2 — From a future activity/labor agent</t>
        </is>
      </c>
      <c r="G37" s="3" t="inlineStr">
        <is>
          <t>Output gap estimate (the standard demand-side input to any Phillips curve specification in bibliography cluster 1) — macro_brasil.atv_ibcbr/atv_pib exist today but no potential-output/gap estimate is computed from them.</t>
        </is>
      </c>
    </row>
    <row r="38" ht="49.05" customHeight="1">
      <c r="A38" s="3" t="inlineStr">
        <is>
          <t>Unemployment gap vs. a NAIRU-type estimate</t>
        </is>
      </c>
      <c r="B38" s="3" t="n"/>
      <c r="C38" s="4" t="n"/>
      <c r="D38" s="4" t="n"/>
      <c r="E38" s="8" t="inlineStr">
        <is>
          <t>Needs agent</t>
        </is>
      </c>
      <c r="F38" s="3" t="inlineStr">
        <is>
          <t>Tier 2 — From a future activity/labor agent</t>
        </is>
      </c>
      <c r="G38" s="3" t="inlineStr">
        <is>
          <t>Unemployment gap vs. a NAIRU-type estimate (same role as the output gap, labor-market version) — raw unemployment already in mt_pnad (§6 above), but no natural-rate estimate exists.</t>
        </is>
      </c>
    </row>
    <row r="39" ht="64.05" customHeight="1">
      <c r="A39" s="3" t="inlineStr">
        <is>
          <t>Already-partially-satisfied by §6 above</t>
        </is>
      </c>
      <c r="B39" s="3" t="n"/>
      <c r="C39" s="4" t="n"/>
      <c r="D39" s="4" t="n"/>
      <c r="E39" s="8" t="inlineStr">
        <is>
          <t>Needs agent</t>
        </is>
      </c>
      <c r="F39" s="3" t="inlineStr">
        <is>
          <t>Tier 2 — From a future activity/labor agent</t>
        </is>
      </c>
      <c r="G39" s="3" t="inlineStr">
        <is>
          <t>Already-partially-satisfied by §6 above (wage growth, wage bill) — flagged here only as a reminder that the ownership of mt_pnad sits with a future activity/labor agent even though the specific series are usable now.</t>
        </is>
      </c>
    </row>
    <row r="40" ht="64.05" customHeight="1">
      <c r="A40" s="3" t="inlineStr">
        <is>
          <t>Spot BRL series</t>
        </is>
      </c>
      <c r="B40" s="3" t="n"/>
      <c r="C40" s="4" t="n"/>
      <c r="D40" s="4" t="n"/>
      <c r="E40" s="8" t="inlineStr">
        <is>
          <t>Needs agent</t>
        </is>
      </c>
      <c r="F40" s="3" t="inlineStr">
        <is>
          <t>Tier 2 — From the exchange rate agent (substantially built, per exchange_rate_data_inventory.md)</t>
        </is>
      </c>
      <c r="G40" s="3" t="inlineStr">
        <is>
          <t>Spot BRL series (PTAX) — now available (macro_brasil.cmb_ptax.ptax_venda), usable directly for pass-through regressions against actual depreciation, alongside REER (macro_international.cmb_reer) and the flow series (cmb_fluxo_cambial/cmb_balanco_pagmt).</t>
        </is>
      </c>
    </row>
    <row r="41" ht="49.05" customHeight="1">
      <c r="A41" s="3" t="inlineStr">
        <is>
          <t>A REER over/undervaluation signal — same gap noted in monetary_policy_data_inventory.md; relevant here as a slower-movin</t>
        </is>
      </c>
      <c r="B41" s="3" t="n"/>
      <c r="C41" s="4" t="n"/>
      <c r="D41" s="4" t="n"/>
      <c r="E41" s="8" t="inlineStr">
        <is>
          <t>Needs agent</t>
        </is>
      </c>
      <c r="F41" s="3" t="inlineStr">
        <is>
          <t>Tier 2 — From the exchange rate agent (substantially built, per exchange_rate_data_inventory.md)</t>
        </is>
      </c>
      <c r="G41" s="3" t="inlineStr">
        <is>
          <t>A REER over/undervaluation signal — same gap noted in monetary_policy_data_inventory.md; relevant here as a slower-moving pass-through input alongside spot moves.</t>
        </is>
      </c>
    </row>
    <row r="42" ht="64.05" customHeight="1">
      <c r="A42" s="3" t="inlineStr">
        <is>
          <t>Administered-price policy signal</t>
        </is>
      </c>
      <c r="B42" s="3" t="n"/>
      <c r="C42" s="4" t="n"/>
      <c r="D42" s="4" t="n"/>
      <c r="E42" s="8" t="inlineStr">
        <is>
          <t>Needs agent</t>
        </is>
      </c>
      <c r="F42" s="3" t="inlineStr">
        <is>
          <t>Tier 2 — From a future fiscal agent</t>
        </is>
      </c>
      <c r="G42" s="3" t="inlineStr">
        <is>
          <t>Administered-price policy signal (are regulated tariffs — energy, fuel, public transport — being adjusted on schedule or politically delayed) — directly relevant given IPCA_administrado is already an owned series (§1) but the policy driver behind its moves is not.</t>
        </is>
      </c>
    </row>
    <row r="43" ht="94.05" customHeight="1">
      <c r="A43" s="3" t="inlineStr">
        <is>
          <t>Fiscal dominance / sustainability risk signal — same placeholder already listed in monetary_policy_data_inventory.md; fo</t>
        </is>
      </c>
      <c r="B43" s="3" t="n"/>
      <c r="C43" s="4" t="n"/>
      <c r="D43" s="4" t="n"/>
      <c r="E43" s="8" t="inlineStr">
        <is>
          <t>Needs agent</t>
        </is>
      </c>
      <c r="F43" s="3" t="inlineStr">
        <is>
          <t>Tier 2 — From a future fiscal agent</t>
        </is>
      </c>
      <c r="G43" s="3" t="inlineStr">
        <is>
          <t>Fiscal dominance / sustainability risk signal — same placeholder already listed in monetary_policy_data_inventory.md; for this agent specifically it would inform how much weight to put on the FTPL-style price-level channel (bibliography cluster 7) versus the standard Phillips-curve channel (cluster 1) when accounting for a given inflation surprise.</t>
        </is>
      </c>
    </row>
    <row r="44" ht="124.05" customHeight="1">
      <c r="A44" s="3" t="inlineStr">
        <is>
          <t>Commodity price indices</t>
        </is>
      </c>
      <c r="B44" s="3" t="n"/>
      <c r="C44" s="4" t="n"/>
      <c r="D44" s="4" t="n"/>
      <c r="E44" s="8" t="inlineStr">
        <is>
          <t>Needs agent</t>
        </is>
      </c>
      <c r="F44" s="3" t="inlineStr">
        <is>
          <t>Tier 2 — From a possible future global/markets agent (not yet scoped at all)</t>
        </is>
      </c>
      <c r="G44" s="3" t="inlineStr">
        <is>
          <t>Commodity price indices (oil, agricultural, metals) — the standard cost-push/imported-inflation input (bibliography cluster 3, Blanchard &amp; Gali 2007) and a direct driver of Brazil's own terms-of-trade-linked food/energy inflation episodes (e.g. the 2021 drought/energy shock flagged as an open gap in bibliography cluster 8). Today the closest proxy in the database is the aggregate terms-of-trade index in macro_brasil.cmb_termos_troca, which is too coarse to isolate a specific commodity shock.</t>
        </is>
      </c>
    </row>
    <row r="45" ht="49.05" customHeight="1">
      <c r="A45" s="3" t="inlineStr">
        <is>
          <t>Global Supply Chain Pressure Index or equivalent — the empirical counterpart to di Giovanni et al.</t>
        </is>
      </c>
      <c r="B45" s="3" t="n"/>
      <c r="C45" s="4" t="n"/>
      <c r="D45" s="4" t="n"/>
      <c r="E45" s="8" t="inlineStr">
        <is>
          <t>Needs agent</t>
        </is>
      </c>
      <c r="F45" s="3" t="inlineStr">
        <is>
          <t>Tier 2 — From a possible future global/markets agent (not yet scoped at all)</t>
        </is>
      </c>
      <c r="G45" s="3" t="inlineStr">
        <is>
          <t>Global Supply Chain Pressure Index or equivalent — the empirical counterpart to di Giovanni et al. (2022) in bibliography cluster 8; no domestic or global proxy exists in the database today.</t>
        </is>
      </c>
    </row>
  </sheetData>
  <autoFilter ref="A1:G45"/>
  <pageMargins left="0.75" right="0.75" top="1" bottom="1" header="0.5" footer="0.5"/>
</worksheet>
</file>

<file path=xl/worksheets/sheet13.xml><?xml version="1.0" encoding="utf-8"?>
<worksheet xmlns="http://schemas.openxmlformats.org/spreadsheetml/2006/main">
  <sheetPr>
    <tabColor rgb="FF1F2853"/>
    <outlinePr summaryBelow="1" summaryRight="1"/>
    <pageSetUpPr/>
  </sheetPr>
  <dimension ref="A1:P27"/>
  <sheetViews>
    <sheetView showGridLines="0" workbookViewId="0">
      <pane ySplit="1" topLeftCell="A2" activePane="bottomLeft" state="frozen"/>
      <selection pane="bottomLeft" activeCell="A1" sqref="A1"/>
    </sheetView>
  </sheetViews>
  <sheetFormatPr baseColWidth="8" defaultRowHeight="14.4"/>
  <cols>
    <col width="42" customWidth="1" min="1" max="1"/>
    <col width="28" customWidth="1" min="2" max="2"/>
    <col width="12" customWidth="1" min="3" max="3"/>
    <col width="10" customWidth="1" min="4" max="4"/>
    <col width="13" customWidth="1" min="5" max="5"/>
    <col width="20" customWidth="1" min="6" max="6"/>
    <col width="22" customWidth="1" min="7" max="7"/>
    <col width="5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64.05" customHeight="1">
      <c r="A2" s="3" t="inlineStr">
        <is>
          <t>Wage Determination and Efficiency in Search Equilibrium</t>
        </is>
      </c>
      <c r="B2" s="3" t="inlineStr">
        <is>
          <t>Diamond, P.</t>
        </is>
      </c>
      <c r="C2" s="4" t="inlineStr">
        <is>
          <t>1982</t>
        </is>
      </c>
      <c r="D2" s="4" t="n">
        <v>5</v>
      </c>
      <c r="E2" s="5" t="inlineStr">
        <is>
          <t>No</t>
        </is>
      </c>
      <c r="F2" s="3" t="inlineStr">
        <is>
          <t>Paper</t>
        </is>
      </c>
      <c r="G2" s="3" t="inlineStr">
        <is>
          <t>#search_matching_theory_foundations</t>
        </is>
      </c>
      <c r="H2" s="3" t="inlineStr">
        <is>
          <t>One of the three founding papers of search-and-matching theory (with Mortensen and Pissarides below) — search frictions mean unemployment and job vacancies can coexist in equilibrium, unlike in a Walrasian labor market</t>
        </is>
      </c>
      <c r="I2" s="3" t="inlineStr">
        <is>
          <t>Suggested file: wage_determination_search_equilibrium (Diamond, 1982).pdf</t>
        </is>
      </c>
      <c r="J2" s="51" t="n"/>
      <c r="K2" s="52" t="n"/>
      <c r="L2" s="52" t="n"/>
      <c r="M2" s="51" t="n"/>
      <c r="N2" s="51" t="n"/>
      <c r="O2" s="52" t="n"/>
      <c r="P2" s="51" t="n"/>
    </row>
    <row r="3" ht="49.05" customHeight="1">
      <c r="A3" s="3" t="inlineStr">
        <is>
          <t>Property Rights and Efficiency in Mating, Racing, and Related Games</t>
        </is>
      </c>
      <c r="B3" s="3" t="inlineStr">
        <is>
          <t>Mortensen, D.</t>
        </is>
      </c>
      <c r="C3" s="4" t="inlineStr">
        <is>
          <t>1982</t>
        </is>
      </c>
      <c r="D3" s="4" t="n">
        <v>5</v>
      </c>
      <c r="E3" s="5" t="inlineStr">
        <is>
          <t>No</t>
        </is>
      </c>
      <c r="F3" s="3" t="inlineStr">
        <is>
          <t>Paper</t>
        </is>
      </c>
      <c r="G3" s="3" t="inlineStr">
        <is>
          <t>#search_matching_theory_foundations</t>
        </is>
      </c>
      <c r="H3" s="3" t="inlineStr">
        <is>
          <t>The second founding contribution — formalizes the matching function and the bargaining problem over the surplus created by a match, the core building block of the whole DMP apparatus</t>
        </is>
      </c>
      <c r="I3" s="3" t="inlineStr">
        <is>
          <t>Suggested file: property_rights_efficiency_matching (Mortensen, 1982).pdf</t>
        </is>
      </c>
      <c r="J3" s="51" t="n"/>
      <c r="K3" s="52" t="n"/>
      <c r="L3" s="52" t="n"/>
      <c r="M3" s="51" t="n"/>
      <c r="N3" s="51" t="n"/>
      <c r="O3" s="52" t="n"/>
      <c r="P3" s="51" t="n"/>
    </row>
    <row r="4" ht="49.05" customHeight="1">
      <c r="A4" s="3" t="inlineStr">
        <is>
          <t>Short-Run Equilibrium Dynamics of Unemployment, Vacancies, and Real Wages</t>
        </is>
      </c>
      <c r="B4" s="3" t="inlineStr">
        <is>
          <t>Pissarides, C.</t>
        </is>
      </c>
      <c r="C4" s="4" t="inlineStr">
        <is>
          <t>1985</t>
        </is>
      </c>
      <c r="D4" s="4" t="n">
        <v>5</v>
      </c>
      <c r="E4" s="5" t="inlineStr">
        <is>
          <t>No</t>
        </is>
      </c>
      <c r="F4" s="3" t="inlineStr">
        <is>
          <t>Paper</t>
        </is>
      </c>
      <c r="G4" s="3" t="inlineStr">
        <is>
          <t>#search_matching_theory_foundations</t>
        </is>
      </c>
      <c r="H4" s="3" t="inlineStr">
        <is>
          <t>The third founding contribution and the one that gives the framework its clearest empirical hook — the Beveridge curve (cluster 2) falls directly out of this model's equilibrium</t>
        </is>
      </c>
      <c r="I4" s="3" t="inlineStr">
        <is>
          <t>Suggested file: short_run_equilibrium_unemployment_vacancies (Pissarides, 1985).pdf</t>
        </is>
      </c>
      <c r="J4" s="51" t="n"/>
      <c r="K4" s="52" t="n"/>
      <c r="L4" s="52" t="n"/>
      <c r="M4" s="51" t="n"/>
      <c r="N4" s="51" t="n"/>
      <c r="O4" s="52" t="n"/>
      <c r="P4" s="51" t="n"/>
    </row>
    <row r="5" ht="49.05" customHeight="1">
      <c r="A5" s="3" t="inlineStr">
        <is>
          <t>Job Creation and Job Destruction in the Theory of Unemployment</t>
        </is>
      </c>
      <c r="B5" s="3" t="inlineStr">
        <is>
          <t>Mortensen, D. &amp; Pissarides, C.</t>
        </is>
      </c>
      <c r="C5" s="4" t="inlineStr">
        <is>
          <t>1994</t>
        </is>
      </c>
      <c r="D5" s="4" t="n">
        <v>5</v>
      </c>
      <c r="E5" s="5" t="inlineStr">
        <is>
          <t>No</t>
        </is>
      </c>
      <c r="F5" s="3" t="inlineStr">
        <is>
          <t>Paper</t>
        </is>
      </c>
      <c r="G5" s="3" t="inlineStr">
        <is>
          <t>#search_matching_theory_foundations</t>
        </is>
      </c>
      <c r="H5" s="3" t="inlineStr">
        <is>
          <t>Extends the static DMP model into a full job-creation/job-destruction dynamic framework — the standard reference for modeling gross (not just net) labor market flows</t>
        </is>
      </c>
      <c r="I5" s="3" t="inlineStr">
        <is>
          <t>Suggested file: job_creation_job_destruction (Mortensen &amp; Pissarides, 1994).pdf</t>
        </is>
      </c>
      <c r="J5" s="51" t="n"/>
      <c r="K5" s="52" t="n"/>
      <c r="L5" s="52" t="n"/>
      <c r="M5" s="51" t="n"/>
      <c r="N5" s="51" t="n"/>
      <c r="O5" s="52" t="n"/>
      <c r="P5" s="51" t="n"/>
    </row>
    <row r="6" ht="79.05" customHeight="1">
      <c r="A6" s="3" t="inlineStr">
        <is>
          <t>Equilibrium Unemployment Theory (2nd ed.) - selected chapters</t>
        </is>
      </c>
      <c r="B6" s="3" t="inlineStr">
        <is>
          <t>Pissarides, C.</t>
        </is>
      </c>
      <c r="C6" s="4" t="inlineStr">
        <is>
          <t>2000</t>
        </is>
      </c>
      <c r="D6" s="4" t="n">
        <v>5</v>
      </c>
      <c r="E6" s="5" t="inlineStr">
        <is>
          <t>No</t>
        </is>
      </c>
      <c r="F6" s="3" t="inlineStr">
        <is>
          <t>Book</t>
        </is>
      </c>
      <c r="G6" s="3" t="inlineStr">
        <is>
          <t>#search_matching_theory_foundations</t>
        </is>
      </c>
      <c r="H6" s="3" t="inlineStr">
        <is>
          <t>The standard graduate textbook synthesizing the DMP framework — Diamond, Mortensen and Pissarides jointly won the 2010 Nobel largely on the strength of this research program. Recommended: Ch. 1-2 (basic model and steady state) — confirm exact chapters against ToC</t>
        </is>
      </c>
      <c r="I6" s="3" t="inlineStr">
        <is>
          <t>Suggested file: equilibrium_unemployment_theory_selected_chapters (Pissarides, 2000).pdf</t>
        </is>
      </c>
      <c r="J6" s="51" t="n"/>
      <c r="K6" s="52" t="n"/>
      <c r="L6" s="52" t="n"/>
      <c r="M6" s="51" t="n"/>
      <c r="N6" s="51" t="n"/>
      <c r="O6" s="52" t="n"/>
      <c r="P6" s="51" t="n"/>
    </row>
    <row r="7" ht="64.05" customHeight="1">
      <c r="A7" s="3" t="inlineStr">
        <is>
          <t>The Beveridge Curve</t>
        </is>
      </c>
      <c r="B7" s="3" t="inlineStr">
        <is>
          <t>Blanchard, O. &amp; Diamond, P.</t>
        </is>
      </c>
      <c r="C7" s="4" t="inlineStr">
        <is>
          <t>1989</t>
        </is>
      </c>
      <c r="D7" s="4" t="n">
        <v>5</v>
      </c>
      <c r="E7" s="5" t="inlineStr">
        <is>
          <t>No</t>
        </is>
      </c>
      <c r="F7" s="3" t="inlineStr">
        <is>
          <t>Paper</t>
        </is>
      </c>
      <c r="G7" s="3" t="inlineStr">
        <is>
          <t>#beveridge_curve_and_matching_efficiency</t>
        </is>
      </c>
      <c r="H7" s="3" t="inlineStr">
        <is>
          <t>The paper that gave the unemployment-vacancy relationship its modern name and empirical treatment — established the Beveridge curve as the standard diagnostic for whether unemployment is cyclical (curve position) or structural (curve shift)</t>
        </is>
      </c>
      <c r="I7" s="3" t="inlineStr">
        <is>
          <t>Suggested file: the_beveridge_curve (Blanchard &amp; Diamond, 1989).pdf</t>
        </is>
      </c>
      <c r="J7" s="51" t="n"/>
      <c r="K7" s="52" t="n"/>
      <c r="L7" s="52" t="n"/>
      <c r="M7" s="51" t="n"/>
      <c r="N7" s="51" t="n"/>
      <c r="O7" s="52" t="n"/>
      <c r="P7" s="51" t="n"/>
    </row>
    <row r="8" ht="79.05" customHeight="1">
      <c r="A8" s="3" t="inlineStr">
        <is>
          <t>The Beveridge Curve: A Survey</t>
        </is>
      </c>
      <c r="B8" s="3" t="inlineStr">
        <is>
          <t>Elsby, M., Michaels, R. &amp; Ratner, D.</t>
        </is>
      </c>
      <c r="C8" s="4" t="inlineStr">
        <is>
          <t>2015</t>
        </is>
      </c>
      <c r="D8" s="4" t="n">
        <v>4</v>
      </c>
      <c r="E8" s="5" t="inlineStr">
        <is>
          <t>No</t>
        </is>
      </c>
      <c r="F8" s="3" t="inlineStr">
        <is>
          <t>Paper</t>
        </is>
      </c>
      <c r="G8" s="3" t="inlineStr">
        <is>
          <t>#beveridge_curve_and_matching_efficiency</t>
        </is>
      </c>
      <c r="H8" s="3" t="inlineStr">
        <is>
          <t>Comprehensive modern survey, written in the aftermath of the US Beveridge curve's post-2008 outward shift — covers the competing explanations (mismatch, extended UI benefits, reduced matching efficiency) for why the same vacancy rate started coexisting with higher unemployment</t>
        </is>
      </c>
      <c r="I8" s="3" t="inlineStr">
        <is>
          <t>Suggested file: beveridge_curve_survey (Elsby, Michaels &amp; Ratner, 2015).pdf</t>
        </is>
      </c>
      <c r="J8" s="51" t="n"/>
      <c r="K8" s="52" t="n"/>
      <c r="L8" s="52" t="n"/>
      <c r="M8" s="51" t="n"/>
      <c r="N8" s="51" t="n"/>
      <c r="O8" s="52" t="n"/>
      <c r="P8" s="51" t="n"/>
    </row>
    <row r="9" ht="64.05" customHeight="1">
      <c r="A9" s="3" t="inlineStr">
        <is>
          <t>How Precise Are Estimates of the Natural Rate of Unemployment?</t>
        </is>
      </c>
      <c r="B9" s="3" t="inlineStr">
        <is>
          <t>Staiger, D., Stock, J. &amp; Watson, M.</t>
        </is>
      </c>
      <c r="C9" s="4" t="inlineStr">
        <is>
          <t>1997</t>
        </is>
      </c>
      <c r="D9" s="4" t="n">
        <v>5</v>
      </c>
      <c r="E9" s="5" t="inlineStr">
        <is>
          <t>No</t>
        </is>
      </c>
      <c r="F9" s="3" t="inlineStr">
        <is>
          <t>Paper (NBER conference volume chapter)</t>
        </is>
      </c>
      <c r="G9" s="3" t="inlineStr">
        <is>
          <t>#nairu_and_natural_rate_of_unemployment</t>
        </is>
      </c>
      <c r="H9" s="3" t="inlineStr">
        <is>
          <t>The definitive statement of just how wide the confidence intervals around any NAIRU estimate actually are — essential caution before treating any single NAIRU number (Brazilian or otherwise) as precise</t>
        </is>
      </c>
      <c r="I9" s="3" t="inlineStr">
        <is>
          <t>Suggested file: precision_natural_rate_estimates (Staiger, Stock &amp; Watson, 1997).pdf</t>
        </is>
      </c>
      <c r="J9" s="51" t="n"/>
      <c r="K9" s="52" t="n"/>
      <c r="L9" s="52" t="n"/>
      <c r="M9" s="51" t="n"/>
      <c r="N9" s="51" t="n"/>
      <c r="O9" s="52" t="n"/>
      <c r="P9" s="51" t="n"/>
    </row>
    <row r="10" ht="64.05" customHeight="1">
      <c r="A10" s="3" t="inlineStr">
        <is>
          <t>The Time-Varying NAIRU and Its Implications for Economic Policy</t>
        </is>
      </c>
      <c r="B10" s="3" t="inlineStr">
        <is>
          <t>Gordon, R.</t>
        </is>
      </c>
      <c r="C10" s="4" t="inlineStr">
        <is>
          <t>1997</t>
        </is>
      </c>
      <c r="D10" s="4" t="n">
        <v>5</v>
      </c>
      <c r="E10" s="5" t="inlineStr">
        <is>
          <t>No</t>
        </is>
      </c>
      <c r="F10" s="3" t="inlineStr">
        <is>
          <t>Paper</t>
        </is>
      </c>
      <c r="G10" s="3" t="inlineStr">
        <is>
          <t>#nairu_and_natural_rate_of_unemployment</t>
        </is>
      </c>
      <c r="H10" s="3" t="inlineStr">
        <is>
          <t>Argues the NAIRU itself moves over time rather than being a fixed structural constant — directly relevant to reading Brazil's own apparent NAIRU decline since the 2017 labor reform (cluster 8) as a real structural shift rather than noise</t>
        </is>
      </c>
      <c r="I10" s="3" t="inlineStr">
        <is>
          <t>Suggested file: time_varying_nairu (Gordon, 1997).pdf</t>
        </is>
      </c>
      <c r="J10" s="51" t="n"/>
      <c r="K10" s="52" t="n"/>
      <c r="L10" s="52" t="n"/>
      <c r="M10" s="51" t="n"/>
      <c r="N10" s="51" t="n"/>
      <c r="O10" s="52" t="n"/>
      <c r="P10" s="51" t="n"/>
    </row>
    <row r="11" ht="64.05" customHeight="1">
      <c r="A11" s="3" t="inlineStr">
        <is>
          <t>The NAIRU in Theory and Practice</t>
        </is>
      </c>
      <c r="B11" s="3" t="inlineStr">
        <is>
          <t>Ball, L. &amp; Mankiw, N.G.</t>
        </is>
      </c>
      <c r="C11" s="4" t="inlineStr">
        <is>
          <t>2002</t>
        </is>
      </c>
      <c r="D11" s="4" t="n">
        <v>4</v>
      </c>
      <c r="E11" s="5" t="inlineStr">
        <is>
          <t>No</t>
        </is>
      </c>
      <c r="F11" s="3" t="inlineStr">
        <is>
          <t>Paper</t>
        </is>
      </c>
      <c r="G11" s="3" t="inlineStr">
        <is>
          <t>#nairu_and_natural_rate_of_unemployment</t>
        </is>
      </c>
      <c r="H11" s="3" t="inlineStr">
        <is>
          <t>Accessible synthesis of the theoretical status and practical estimation problems of the NAIRU a decade after Staiger-Stock-Watson — good bridge piece between the pure theory and the applied Brazilian estimate below</t>
        </is>
      </c>
      <c r="I11" s="3" t="inlineStr">
        <is>
          <t>Suggested file: nairu_theory_and_practice (Ball &amp; Mankiw, 2002).pdf</t>
        </is>
      </c>
      <c r="J11" s="51" t="n"/>
      <c r="K11" s="52" t="n"/>
      <c r="L11" s="52" t="n"/>
      <c r="M11" s="51" t="n"/>
      <c r="N11" s="51" t="n"/>
      <c r="O11" s="52" t="n"/>
      <c r="P11" s="51" t="n"/>
    </row>
    <row r="12" ht="124.05" customHeight="1">
      <c r="A12" s="3" t="inlineStr">
        <is>
          <t>Taxa de Desemprego de Equilibrio Brasileira Esta Mais Proxima dos 8,5% da PEA</t>
        </is>
      </c>
      <c r="B12" s="3" t="inlineStr">
        <is>
          <t>Borges, B.</t>
        </is>
      </c>
      <c r="C12" s="4" t="inlineStr">
        <is>
          <t>2022</t>
        </is>
      </c>
      <c r="D12" s="4" t="n">
        <v>4</v>
      </c>
      <c r="E12" s="5" t="inlineStr">
        <is>
          <t>No</t>
        </is>
      </c>
      <c r="F12" s="3" t="inlineStr">
        <is>
          <t>Paper (blog post / applied note)</t>
        </is>
      </c>
      <c r="G12" s="3" t="inlineStr">
        <is>
          <t>#nairu_and_natural_rate_of_unemployment</t>
        </is>
      </c>
      <c r="H12" s="3" t="inlineStr">
        <is>
          <t>The clearest available Brazil-specific NAWRU estimate — a wage-focused New Keynesian Phillips curve (unit labor cost vs. unemployment, 1996-2017) augmented with unionization and capital/human-capital structural variables to recover a time-varying equilibrium unemployment rate; finds Brazil's NAWRU fell roughly 1 p.p. between 2018-2022, partly attributing this to the 2017 labor reform — doubling as indirect empirical evidence for cluster 8's reform-effects gap</t>
        </is>
      </c>
      <c r="I12" s="3" t="inlineStr">
        <is>
          <t>Suggested file: taxa_desemprego_equilibrio_brasil (Borges, 2022).pdf</t>
        </is>
      </c>
      <c r="J12" s="51" t="n"/>
      <c r="K12" s="52" t="n"/>
      <c r="L12" s="52" t="n"/>
      <c r="M12" s="51" t="n"/>
      <c r="N12" s="51" t="n"/>
      <c r="O12" s="52" t="n"/>
      <c r="P12" s="51" t="n"/>
    </row>
    <row r="13" ht="79.05" customHeight="1">
      <c r="A13" s="3" t="inlineStr">
        <is>
          <t>The Cyclical Behavior of Equilibrium Unemployment and Vacancies</t>
        </is>
      </c>
      <c r="B13" s="3" t="inlineStr">
        <is>
          <t>Shimer, R.</t>
        </is>
      </c>
      <c r="C13" s="4" t="inlineStr">
        <is>
          <t>2005</t>
        </is>
      </c>
      <c r="D13" s="4" t="n">
        <v>5</v>
      </c>
      <c r="E13" s="5" t="inlineStr">
        <is>
          <t>No</t>
        </is>
      </c>
      <c r="F13" s="3" t="inlineStr">
        <is>
          <t>Paper</t>
        </is>
      </c>
      <c r="G13" s="3" t="inlineStr">
        <is>
          <t>#unemployment_volatility_and_wage_rigidity</t>
        </is>
      </c>
      <c r="H13" s="3" t="inlineStr">
        <is>
          <t>The "Shimer puzzle" — shows the basic DMP model, calibrated to match average labor market flows, generates far too little cyclical volatility in unemployment and vacancies relative to the data. The single most influential critique the search-and-matching program has faced</t>
        </is>
      </c>
      <c r="I13" s="3" t="inlineStr">
        <is>
          <t>Suggested file: cyclical_behavior_unemployment_vacancies (Shimer, 2005).pdf</t>
        </is>
      </c>
      <c r="J13" s="51" t="n"/>
      <c r="K13" s="52" t="n"/>
      <c r="L13" s="52" t="n"/>
      <c r="M13" s="51" t="n"/>
      <c r="N13" s="51" t="n"/>
      <c r="O13" s="52" t="n"/>
      <c r="P13" s="51" t="n"/>
    </row>
    <row r="14" ht="64.05" customHeight="1">
      <c r="A14" s="3" t="inlineStr">
        <is>
          <t>Employment Fluctuations with Equilibrium Wage Stickiness</t>
        </is>
      </c>
      <c r="B14" s="3" t="inlineStr">
        <is>
          <t>Hall, R.</t>
        </is>
      </c>
      <c r="C14" s="4" t="inlineStr">
        <is>
          <t>2005</t>
        </is>
      </c>
      <c r="D14" s="4" t="n">
        <v>5</v>
      </c>
      <c r="E14" s="5" t="inlineStr">
        <is>
          <t>No</t>
        </is>
      </c>
      <c r="F14" s="3" t="inlineStr">
        <is>
          <t>Paper</t>
        </is>
      </c>
      <c r="G14" s="3" t="inlineStr">
        <is>
          <t>#unemployment_volatility_and_wage_rigidity</t>
        </is>
      </c>
      <c r="H14" s="3" t="inlineStr">
        <is>
          <t>The standard proposed fix — if wages are sticky rather than continuously re-bargained via Nash bargaining, the DMP model can generate realistic volatility. Published in the same AER issue as Shimer's critique, effectively as its direct answer</t>
        </is>
      </c>
      <c r="I14" s="3" t="inlineStr">
        <is>
          <t>Suggested file: employment_fluctuations_wage_stickiness (Hall, 2005).pdf</t>
        </is>
      </c>
      <c r="J14" s="51" t="n"/>
      <c r="K14" s="52" t="n"/>
      <c r="L14" s="52" t="n"/>
      <c r="M14" s="51" t="n"/>
      <c r="N14" s="51" t="n"/>
      <c r="O14" s="52" t="n"/>
      <c r="P14" s="51" t="n"/>
    </row>
    <row r="15" ht="64.05" customHeight="1">
      <c r="A15" s="3" t="inlineStr">
        <is>
          <t>The Unemployment Volatility Puzzle: Is Wage Stickiness the Answer?</t>
        </is>
      </c>
      <c r="B15" s="3" t="inlineStr">
        <is>
          <t>Pissarides, C.</t>
        </is>
      </c>
      <c r="C15" s="4" t="inlineStr">
        <is>
          <t>2009</t>
        </is>
      </c>
      <c r="D15" s="4" t="n">
        <v>4</v>
      </c>
      <c r="E15" s="5" t="inlineStr">
        <is>
          <t>No</t>
        </is>
      </c>
      <c r="F15" s="3" t="inlineStr">
        <is>
          <t>Paper</t>
        </is>
      </c>
      <c r="G15" s="3" t="inlineStr">
        <is>
          <t>#unemployment_volatility_and_wage_rigidity</t>
        </is>
      </c>
      <c r="H15" s="3" t="inlineStr">
        <is>
          <t>Pissarides's own later assessment of the Shimer-Hall debate — argues the puzzle is more about wage stickiness specifically for new hires than for the stock of existing matches, refining rather than simply endorsing Hall's fix</t>
        </is>
      </c>
      <c r="I15" s="3" t="inlineStr">
        <is>
          <t>Suggested file: unemployment_volatility_puzzle (Pissarides, 2009).pdf</t>
        </is>
      </c>
      <c r="J15" s="51" t="n"/>
      <c r="K15" s="52" t="n"/>
      <c r="L15" s="52" t="n"/>
      <c r="M15" s="51" t="n"/>
      <c r="N15" s="51" t="n"/>
      <c r="O15" s="52" t="n"/>
      <c r="P15" s="51" t="n"/>
    </row>
    <row r="16" ht="109.05" customHeight="1">
      <c r="A16" s="3" t="inlineStr">
        <is>
          <t>The Wage Curve - selected chapters</t>
        </is>
      </c>
      <c r="B16" s="3" t="inlineStr">
        <is>
          <t>Blanchflower, D. &amp; Oswald, A.</t>
        </is>
      </c>
      <c r="C16" s="4" t="inlineStr">
        <is>
          <t>1994</t>
        </is>
      </c>
      <c r="D16" s="4" t="n">
        <v>5</v>
      </c>
      <c r="E16" s="5" t="inlineStr">
        <is>
          <t>No</t>
        </is>
      </c>
      <c r="F16" s="3" t="inlineStr">
        <is>
          <t>Book</t>
        </is>
      </c>
      <c r="G16" s="3" t="inlineStr">
        <is>
          <t>#wage_curve_and_bargaining</t>
        </is>
      </c>
      <c r="H16" s="3" t="inlineStr">
        <is>
          <t>The founding statement of the "wage curve" — an empirical negative relationship between the level of local unemployment and the level of real wages, found repeatedly across countries, distinct from (and initially surprising relative to) the Phillips curve's focus on wage/price inflation. Recommended: the introductory chapter establishing the empirical regularity and the cross-country replication chapter</t>
        </is>
      </c>
      <c r="I16" s="3" t="inlineStr">
        <is>
          <t>Suggested file: the_wage_curve_selected_chapters (Blanchflower &amp; Oswald, 1994).pdf</t>
        </is>
      </c>
      <c r="J16" s="51" t="n"/>
      <c r="K16" s="52" t="n"/>
      <c r="L16" s="52" t="n"/>
      <c r="M16" s="51" t="n"/>
      <c r="N16" s="51" t="n"/>
      <c r="O16" s="52" t="n"/>
      <c r="P16" s="51" t="n"/>
    </row>
    <row r="17" ht="49.05" customHeight="1">
      <c r="A17" s="3" t="inlineStr">
        <is>
          <t>The Wage Curve Reloaded</t>
        </is>
      </c>
      <c r="B17" s="3" t="inlineStr">
        <is>
          <t>Blanchflower, D. &amp; Oswald, A.</t>
        </is>
      </c>
      <c r="C17" s="4" t="inlineStr">
        <is>
          <t>2005</t>
        </is>
      </c>
      <c r="D17" s="4" t="n">
        <v>4</v>
      </c>
      <c r="E17" s="5" t="inlineStr">
        <is>
          <t>No</t>
        </is>
      </c>
      <c r="F17" s="3" t="inlineStr">
        <is>
          <t>Paper</t>
        </is>
      </c>
      <c r="G17" s="3" t="inlineStr">
        <is>
          <t>#wage_curve_and_bargaining</t>
        </is>
      </c>
      <c r="H17" s="3" t="inlineStr">
        <is>
          <t>A decade-later update and defense of the wage curve against methodological critiques — useful as the more concise, citable companion to the 1994 book</t>
        </is>
      </c>
      <c r="I17" s="3" t="inlineStr">
        <is>
          <t>Suggested file: wage_curve_reloaded (Blanchflower &amp; Oswald, 2005).pdf</t>
        </is>
      </c>
      <c r="J17" s="51" t="n"/>
      <c r="K17" s="52" t="n"/>
      <c r="L17" s="52" t="n"/>
      <c r="M17" s="51" t="n"/>
      <c r="N17" s="51" t="n"/>
      <c r="O17" s="52" t="n"/>
      <c r="P17" s="51" t="n"/>
    </row>
    <row r="18" ht="79.05" customHeight="1">
      <c r="A18" s="3" t="inlineStr">
        <is>
          <t>Minimum Wages and Employment: A Case Study of the Fast-Food Industry in New Jersey and Pennsylvania</t>
        </is>
      </c>
      <c r="B18" s="3" t="inlineStr">
        <is>
          <t>Card, D. &amp; Krueger, A.</t>
        </is>
      </c>
      <c r="C18" s="4" t="inlineStr">
        <is>
          <t>1994</t>
        </is>
      </c>
      <c r="D18" s="4" t="n">
        <v>5</v>
      </c>
      <c r="E18" s="5" t="inlineStr">
        <is>
          <t>No</t>
        </is>
      </c>
      <c r="F18" s="3" t="inlineStr">
        <is>
          <t>Paper</t>
        </is>
      </c>
      <c r="G18" s="3" t="inlineStr">
        <is>
          <t>#minimum_wage_theory_and_evidence</t>
        </is>
      </c>
      <c r="H18" s="3" t="inlineStr">
        <is>
          <t>The paper that overturned the textbook consensus that minimum wage increases necessarily reduce employment — found no negative, possibly positive, employment effect from a New Jersey minimum-wage increase relative to Pennsylvania. The single most consequential empirical minimum-wage paper</t>
        </is>
      </c>
      <c r="I18" s="3" t="inlineStr">
        <is>
          <t>Suggested file: minimum_wages_employment_case_study (Card &amp; Krueger, 1994).pdf</t>
        </is>
      </c>
      <c r="J18" s="51" t="n"/>
      <c r="K18" s="52" t="n"/>
      <c r="L18" s="52" t="n"/>
      <c r="M18" s="51" t="n"/>
      <c r="N18" s="51" t="n"/>
      <c r="O18" s="52" t="n"/>
      <c r="P18" s="51" t="n"/>
    </row>
    <row r="19" ht="64.05" customHeight="1">
      <c r="A19" s="3" t="inlineStr">
        <is>
          <t>Minimum Wages and Employment...: Comment</t>
        </is>
      </c>
      <c r="B19" s="3" t="inlineStr">
        <is>
          <t>Neumark, D. &amp; Wascher, W.</t>
        </is>
      </c>
      <c r="C19" s="4" t="inlineStr">
        <is>
          <t>2000</t>
        </is>
      </c>
      <c r="D19" s="4" t="n">
        <v>4</v>
      </c>
      <c r="E19" s="5" t="inlineStr">
        <is>
          <t>No</t>
        </is>
      </c>
      <c r="F19" s="3" t="inlineStr">
        <is>
          <t>Paper</t>
        </is>
      </c>
      <c r="G19" s="3" t="inlineStr">
        <is>
          <t>#minimum_wage_theory_and_evidence</t>
        </is>
      </c>
      <c r="H19" s="3" t="inlineStr">
        <is>
          <t>The direct rebuttal, using payroll records rather than Card-Krueger's phone survey data, finding the standard negative employment effect after all — necessary to include as the debate's other side, not just its most famous provocation</t>
        </is>
      </c>
      <c r="I19" s="3" t="inlineStr">
        <is>
          <t>Suggested file: minimum_wages_employment_comment (Neumark &amp; Wascher, 2000).pdf</t>
        </is>
      </c>
      <c r="J19" s="51" t="n"/>
      <c r="K19" s="52" t="n"/>
      <c r="L19" s="52" t="n"/>
      <c r="M19" s="51" t="n"/>
      <c r="N19" s="51" t="n"/>
      <c r="O19" s="52" t="n"/>
      <c r="P19" s="51" t="n"/>
    </row>
    <row r="20" ht="79.05" customHeight="1">
      <c r="A20" s="3" t="inlineStr">
        <is>
          <t>The Effect of Minimum Wages on Low-Wage Jobs</t>
        </is>
      </c>
      <c r="B20" s="3" t="inlineStr">
        <is>
          <t>Cengiz, D., Dube, A., Lindner, A. &amp; Zipperer, B.</t>
        </is>
      </c>
      <c r="C20" s="4" t="inlineStr">
        <is>
          <t>2019</t>
        </is>
      </c>
      <c r="D20" s="4" t="n">
        <v>5</v>
      </c>
      <c r="E20" s="5" t="inlineStr">
        <is>
          <t>No</t>
        </is>
      </c>
      <c r="F20" s="3" t="inlineStr">
        <is>
          <t>Paper</t>
        </is>
      </c>
      <c r="G20" s="3" t="inlineStr">
        <is>
          <t>#minimum_wage_theory_and_evidence</t>
        </is>
      </c>
      <c r="H20" s="3" t="inlineStr">
        <is>
          <t>The modern synthesis — a bunching-estimator approach across 138 US minimum wage increases finds essentially no job losses even as wages rise, updating the Card-Krueger-vs-Neumark-Wascher debate with two more decades of data and a cleaner identification strategy</t>
        </is>
      </c>
      <c r="I20" s="3" t="inlineStr">
        <is>
          <t>Suggested file: effect_minimum_wages_low_wage_jobs (Cengiz et al., 2019).pdf</t>
        </is>
      </c>
      <c r="J20" s="51" t="n"/>
      <c r="K20" s="52" t="n"/>
      <c r="L20" s="52" t="n"/>
      <c r="M20" s="51" t="n"/>
      <c r="N20" s="51" t="n"/>
      <c r="O20" s="52" t="n"/>
      <c r="P20" s="51" t="n"/>
    </row>
    <row r="21" ht="79.05" customHeight="1">
      <c r="A21" s="3" t="inlineStr">
        <is>
          <t>Migration, Unemployment and Development: A Two-Sector Analysis</t>
        </is>
      </c>
      <c r="B21" s="3" t="inlineStr">
        <is>
          <t>Harris, J. &amp; Todaro, M.</t>
        </is>
      </c>
      <c r="C21" s="4" t="inlineStr">
        <is>
          <t>1970</t>
        </is>
      </c>
      <c r="D21" s="4" t="n">
        <v>5</v>
      </c>
      <c r="E21" s="5" t="inlineStr">
        <is>
          <t>No</t>
        </is>
      </c>
      <c r="F21" s="3" t="inlineStr">
        <is>
          <t>Paper</t>
        </is>
      </c>
      <c r="G21" s="3" t="inlineStr">
        <is>
          <t>#informality_dual_labor_markets_and_development</t>
        </is>
      </c>
      <c r="H21" s="3" t="inlineStr">
        <is>
          <t>The founding dual-labor-market model — rural-urban migration continues even with urban unemployment because migrants weigh the expected urban wage (formal wage × probability of getting a formal job) against the rural wage. The direct theoretical ancestor of every later formal/informal dual-market model</t>
        </is>
      </c>
      <c r="I21" s="3" t="inlineStr">
        <is>
          <t>Suggested file: migration_unemployment_development (Harris &amp; Todaro, 1970).pdf</t>
        </is>
      </c>
      <c r="J21" s="51" t="n"/>
      <c r="K21" s="52" t="n"/>
      <c r="L21" s="52" t="n"/>
      <c r="M21" s="51" t="n"/>
      <c r="N21" s="51" t="n"/>
      <c r="O21" s="52" t="n"/>
      <c r="P21" s="51" t="n"/>
    </row>
    <row r="22" ht="94.05" customHeight="1">
      <c r="A22" s="3" t="inlineStr">
        <is>
          <t>Wages and Informality in Developing Countries</t>
        </is>
      </c>
      <c r="B22" s="3" t="inlineStr">
        <is>
          <t>Meghir, C., Narita, R. &amp; Robin, J-M.</t>
        </is>
      </c>
      <c r="C22" s="4" t="inlineStr">
        <is>
          <t>2015</t>
        </is>
      </c>
      <c r="D22" s="4" t="n">
        <v>5</v>
      </c>
      <c r="E22" s="5" t="inlineStr">
        <is>
          <t>No</t>
        </is>
      </c>
      <c r="F22" s="3" t="inlineStr">
        <is>
          <t>Paper</t>
        </is>
      </c>
      <c r="G22" s="3" t="inlineStr">
        <is>
          <t>#informality_dual_labor_markets_and_development</t>
        </is>
      </c>
      <c r="H22" s="3" t="inlineStr">
        <is>
          <t>A structural equilibrium wage-posting model with heterogeneous firms choosing formal/informal status, estimated directly on Brazilian labor force survey data — finds tighter enforcement raises wages, output, and welfare without raising unemployment, a materially different policy conclusion than the simple Harris-Todaro intuition would suggest</t>
        </is>
      </c>
      <c r="I22" s="3" t="inlineStr">
        <is>
          <t>Suggested file: wages_informality_developing_countries (Meghir, Narita &amp; Robin, 2015).pdf</t>
        </is>
      </c>
      <c r="J22" s="51" t="n"/>
      <c r="K22" s="52" t="n"/>
      <c r="L22" s="52" t="n"/>
      <c r="M22" s="51" t="n"/>
      <c r="N22" s="51" t="n"/>
      <c r="O22" s="52" t="n"/>
      <c r="P22" s="51" t="n"/>
    </row>
    <row r="23" ht="124.05" customHeight="1">
      <c r="A23" s="3" t="inlineStr">
        <is>
          <t>Firms, Informality, and Development: Theory and Evidence from Brazil</t>
        </is>
      </c>
      <c r="B23" s="3" t="inlineStr">
        <is>
          <t>Ulyssea, G.</t>
        </is>
      </c>
      <c r="C23" s="4" t="inlineStr">
        <is>
          <t>2018</t>
        </is>
      </c>
      <c r="D23" s="4" t="n">
        <v>5</v>
      </c>
      <c r="E23" s="5" t="inlineStr">
        <is>
          <t>No</t>
        </is>
      </c>
      <c r="F23" s="3" t="inlineStr">
        <is>
          <t>Paper</t>
        </is>
      </c>
      <c r="G23" s="3" t="inlineStr">
        <is>
          <t>#informality_dual_labor_markets_and_development</t>
        </is>
      </c>
      <c r="H23" s="3" t="inlineStr">
        <is>
          <t>The other landmark Brazil-specific structural informality paper — decomposes informal firms into three distinct types (entry-cost-constrained "De Soto" firms, ~9%; tax/regulation-evading "parasite" firms, ~42%; low-productivity "survival" firms, ~49%) and shows reducing informality is not automatically welfare-improving, since it depends which type of firm is affected. A genuinely load-bearing, policy-relevant nuance for any Brazil informality discussion</t>
        </is>
      </c>
      <c r="I23" s="3" t="inlineStr">
        <is>
          <t>Suggested file: firms_informality_development_brazil (Ulyssea, 2018).pdf</t>
        </is>
      </c>
      <c r="J23" s="51" t="n"/>
      <c r="K23" s="52" t="n"/>
      <c r="L23" s="52" t="n"/>
      <c r="M23" s="51" t="n"/>
      <c r="N23" s="51" t="n"/>
      <c r="O23" s="52" t="n"/>
      <c r="P23" s="51" t="n"/>
    </row>
    <row r="24" ht="79.05" customHeight="1">
      <c r="A24" s="3" t="inlineStr">
        <is>
          <t>Consolidacao das Leis do Trabalho (CLT), Decreto-Lei 5.452/1943</t>
        </is>
      </c>
      <c r="B24" s="3" t="inlineStr">
        <is>
          <t>Brasil</t>
        </is>
      </c>
      <c r="C24" s="4" t="inlineStr">
        <is>
          <t>1943</t>
        </is>
      </c>
      <c r="D24" s="4" t="n">
        <v>5</v>
      </c>
      <c r="E24" s="5" t="inlineStr">
        <is>
          <t>No</t>
        </is>
      </c>
      <c r="F24" s="3" t="inlineStr">
        <is>
          <t>Primary legal source</t>
        </is>
      </c>
      <c r="G24" s="3" t="inlineStr">
        <is>
          <t>#brazil_labor_market_institutions_and_measurement</t>
        </is>
      </c>
      <c r="H24" s="3" t="inlineStr">
        <is>
          <t>The foundational labor-law codification still structuring the formal side of the Brazilian labor market 80+ years later - not a paper to 'process' for concepts in the usual sense, but essential institutional background before reading any Brazilian labor-market study, including both informality papers in cluster 7</t>
        </is>
      </c>
      <c r="I24" s="3" t="n"/>
      <c r="J24" s="51" t="n"/>
      <c r="K24" s="52" t="n"/>
      <c r="L24" s="52" t="n"/>
      <c r="M24" s="51" t="n"/>
      <c r="N24" s="51" t="n"/>
      <c r="O24" s="52" t="n"/>
      <c r="P24" s="51" t="n"/>
    </row>
    <row r="25" ht="124.05" customHeight="1">
      <c r="A25" s="3" t="inlineStr">
        <is>
          <t>Lei 13.467/2017 (Reforma Trabalhista)</t>
        </is>
      </c>
      <c r="B25" s="3" t="inlineStr">
        <is>
          <t>Brasil</t>
        </is>
      </c>
      <c r="C25" s="4" t="inlineStr">
        <is>
          <t>2017</t>
        </is>
      </c>
      <c r="D25" s="4" t="n">
        <v>5</v>
      </c>
      <c r="E25" s="5" t="inlineStr">
        <is>
          <t>No</t>
        </is>
      </c>
      <c r="F25" s="3" t="inlineStr">
        <is>
          <t>Primary legal source + open gap</t>
        </is>
      </c>
      <c r="G25" s="3" t="inlineStr">
        <is>
          <t>#brazil_labor_market_institutions_and_measurement</t>
        </is>
      </c>
      <c r="H25" s="3" t="inlineStr">
        <is>
          <t>The most consequential recent institutional change - altered 100+ CLT articles (direct negotiation of conditions, intermittent contracts, unrestricted outsourcing, working-hours flexibility). Borges (2022, cluster 3) already provides indirect empirical evidence (part of Brazil's NAWRU decline attributed to the reform), but no dedicated academic assessment paper was confidently identified in this pass - flagged as an open gap needing a dedicated search rather than a guessed citation</t>
        </is>
      </c>
      <c r="I25" s="3" t="n"/>
      <c r="J25" s="51" t="n"/>
      <c r="K25" s="52" t="n"/>
      <c r="L25" s="52" t="n"/>
      <c r="M25" s="51" t="n"/>
      <c r="N25" s="51" t="n"/>
      <c r="O25" s="52" t="n"/>
      <c r="P25" s="51" t="n"/>
    </row>
    <row r="26" ht="64.05" customHeight="1">
      <c r="A26" s="3" t="inlineStr">
        <is>
          <t>Pesquisa Nacional por Amostra de Domicilios Continua (PNAD Continua): Notas Metodologicas</t>
        </is>
      </c>
      <c r="B26" s="3" t="inlineStr">
        <is>
          <t>IBGE</t>
        </is>
      </c>
      <c r="C26" s="4" t="inlineStr">
        <is>
          <t>n/a</t>
        </is>
      </c>
      <c r="D26" s="4" t="n">
        <v>4</v>
      </c>
      <c r="E26" s="5" t="inlineStr">
        <is>
          <t>No</t>
        </is>
      </c>
      <c r="F26" s="3" t="inlineStr">
        <is>
          <t>Official methodology note</t>
        </is>
      </c>
      <c r="G26" s="3" t="inlineStr">
        <is>
          <t>#brazil_labor_market_institutions_and_measurement</t>
        </is>
      </c>
      <c r="H26" s="3" t="inlineStr">
        <is>
          <t>The official methodology for macro_brasil.pnad, the table this agent would own (per the scope note above) - necessary baseline reference, same role the IBGE national accounts note plays for economic_activity_data_inventory.md</t>
        </is>
      </c>
      <c r="I26" s="3" t="n"/>
      <c r="J26" s="51" t="n"/>
      <c r="K26" s="52" t="n"/>
      <c r="L26" s="52" t="n"/>
      <c r="M26" s="51" t="n"/>
      <c r="N26" s="51" t="n"/>
      <c r="O26" s="52" t="n"/>
      <c r="P26" s="51" t="n"/>
    </row>
    <row r="27" ht="94.05" customHeight="1">
      <c r="A27" s="3" t="inlineStr">
        <is>
          <t>CAGED: Novo Cadastro Geral de Empregados e Desempregados - Notas Metodologicas</t>
        </is>
      </c>
      <c r="B27" s="3" t="inlineStr">
        <is>
          <t>Banco Central do Brasil / Ministerio do Trabalho</t>
        </is>
      </c>
      <c r="C27" s="4" t="inlineStr">
        <is>
          <t>n/a</t>
        </is>
      </c>
      <c r="D27" s="4" t="n">
        <v>4</v>
      </c>
      <c r="E27" s="5" t="inlineStr">
        <is>
          <t>No</t>
        </is>
      </c>
      <c r="F27" s="3" t="inlineStr">
        <is>
          <t>Official methodology note</t>
        </is>
      </c>
      <c r="G27" s="3" t="inlineStr">
        <is>
          <t>#brazil_labor_market_institutions_and_measurement</t>
        </is>
      </c>
      <c r="H27" s="3" t="inlineStr">
        <is>
          <t>The methodology for macro_brasil.caged - Brazil's formal-employment administrative registry, distinct from PNAD's household-survey approach; the two together (formal registry + household survey, which also captures informal employment) are what make a genuine formal/informal decomposition of Brazilian employment possible in the first place</t>
        </is>
      </c>
      <c r="I27" s="3" t="n"/>
      <c r="J27" s="51" t="n"/>
      <c r="K27" s="52" t="n"/>
      <c r="L27" s="52" t="n"/>
      <c r="M27" s="51" t="n"/>
      <c r="N27" s="51" t="n"/>
      <c r="O27" s="52" t="n"/>
      <c r="P27" s="51" t="n"/>
    </row>
  </sheetData>
  <autoFilter ref="A1:P27"/>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FF418791"/>
    <outlinePr summaryBelow="1" summaryRight="1"/>
    <pageSetUpPr/>
  </sheetPr>
  <dimension ref="A1:G24"/>
  <sheetViews>
    <sheetView showGridLines="0" zoomScale="70" workbookViewId="0">
      <pane ySplit="1" topLeftCell="A2" activePane="bottomLeft" state="frozen"/>
      <selection pane="bottomLeft" activeCell="A1" sqref="A1"/>
    </sheetView>
  </sheetViews>
  <sheetFormatPr baseColWidth="8" defaultRowHeight="14.4"/>
  <cols>
    <col width="46" customWidth="1" min="1" max="1"/>
    <col width="40" customWidth="1" min="2" max="2"/>
    <col width="26" customWidth="1" min="3" max="3"/>
    <col width="11" customWidth="1" min="4" max="4"/>
    <col width="14" customWidth="1" min="5" max="5"/>
    <col width="30" customWidth="1" min="6" max="6"/>
    <col width="60" customWidth="1" min="7" max="7"/>
  </cols>
  <sheetData>
    <row r="1" ht="27.6" customHeight="1">
      <c r="A1" s="2" t="inlineStr">
        <is>
          <t>Name</t>
        </is>
      </c>
      <c r="B1" s="2" t="inlineStr">
        <is>
          <t>Source</t>
        </is>
      </c>
      <c r="C1" s="2" t="inlineStr">
        <is>
          <t>Date</t>
        </is>
      </c>
      <c r="D1" s="2" t="inlineStr">
        <is>
          <t>Importance</t>
        </is>
      </c>
      <c r="E1" s="2" t="inlineStr">
        <is>
          <t>Do we have it?</t>
        </is>
      </c>
      <c r="F1" s="2" t="inlineStr">
        <is>
          <t>Category</t>
        </is>
      </c>
      <c r="G1" s="2" t="inlineStr">
        <is>
          <t>Comments</t>
        </is>
      </c>
    </row>
    <row r="2" ht="49.05" customHeight="1">
      <c r="A2" s="3" t="inlineStr">
        <is>
          <t>Occupied, unemployed, out of labor force</t>
        </is>
      </c>
      <c r="B2" s="3" t="inlineStr">
        <is>
          <t>macro_brasil.mt_pnad · ocupado, desocupado, fora_da_forca_trabalho</t>
        </is>
      </c>
      <c r="C2" s="4" t="n"/>
      <c r="D2" s="4" t="n"/>
      <c r="E2" s="6" t="inlineStr">
        <is>
          <t>Yes</t>
        </is>
      </c>
      <c r="F2" s="3" t="inlineStr">
        <is>
          <t>1. Labor force condition and unemployment (PNAD Contínua)</t>
        </is>
      </c>
      <c r="G2" s="3" t="inlineStr">
        <is>
          <t>the core unemployment-rate input, directly feeding cluster 3's NAIRU/NAWRU work and (once a vacancy series exists) cluster 2's Beveridge curve</t>
        </is>
      </c>
    </row>
    <row r="3" ht="94.05" customHeight="1">
      <c r="A3" s="3" t="inlineStr">
        <is>
          <t>Occupied population by formal/informal position — private-sector with/without carteira, domestic worker with/without carteira, public-sector (military/civil) with/without carteira, employer/self-employed with/without CNPJ</t>
        </is>
      </c>
      <c r="B3" s="3" t="inlineStr">
        <is>
          <t>macro_brasil.mt_pnad · ocup_priv_excl_domestico_com_carteira, ocup_priv_excl_domestico_sem_carteira, ocup_domestico_com_carteira, ocup_domestico_sem_carteira, ocup_pub_*, ocup_empregador_*, ocup_conta_propria_*, ocup_familiar_auxiliar</t>
        </is>
      </c>
      <c r="C3" s="4" t="n"/>
      <c r="D3" s="4" t="n"/>
      <c r="E3" s="6" t="inlineStr">
        <is>
          <t>Yes</t>
        </is>
      </c>
      <c r="F3" s="3" t="inlineStr">
        <is>
          <t>2. Formal/informal employment split (PNAD Contínua, by occupational position)</t>
        </is>
      </c>
      <c r="G3" s="3" t="inlineStr">
        <is>
          <t>the com_carteira (formal, signed labor card) vs. sem_carteira (informal) distinction across every category is already a genuine, usable formal/informal decomposition — directly relevant to cluster 7 (Ulyssea 2018, Meghir-Narita-Robin 2015)</t>
        </is>
      </c>
    </row>
    <row r="4" ht="109.05" customHeight="1">
      <c r="A4" s="3" t="inlineStr">
        <is>
          <t>Same, by main economic activity/sector</t>
        </is>
      </c>
      <c r="B4" s="3" t="inlineStr">
        <is>
          <t>macro_brasil.mt_pnad · ocup_agropecuaria, ocup_industria_geral, ocup_construcao, ocup_comercio_rep_veiculo, ocup_transporte_armazenagem_correio, ocup_alojamento_alimentacao, ocup_inform_comun_financ_imob_prof_adm, ocup_admpub_educ_saude_segsoc, ocup_outros_servicos, ocup_servicos_domesticos</t>
        </is>
      </c>
      <c r="C4" s="4" t="n"/>
      <c r="D4" s="4" t="n"/>
      <c r="E4" s="6" t="inlineStr">
        <is>
          <t>Yes</t>
        </is>
      </c>
      <c r="F4" s="3" t="inlineStr">
        <is>
          <t>2. Formal/informal employment split (PNAD Contínua, by occupational position)</t>
        </is>
      </c>
      <c r="G4" s="3" t="n"/>
    </row>
    <row r="5" ht="34.05" customHeight="1">
      <c r="A5" s="3" t="inlineStr">
        <is>
          <t>Real and nominal aggregate wage bill ("massa de rendimentos")</t>
        </is>
      </c>
      <c r="B5" s="3" t="inlineStr">
        <is>
          <t>macro_brasil.mt_pnad · massa_real_habitual, massa_nominal_habitual</t>
        </is>
      </c>
      <c r="C5" s="4" t="n"/>
      <c r="D5" s="4" t="n"/>
      <c r="E5" s="6" t="inlineStr">
        <is>
          <t>Yes</t>
        </is>
      </c>
      <c r="F5" s="3" t="inlineStr">
        <is>
          <t>3. Wages and income (PNAD Contínua)</t>
        </is>
      </c>
      <c r="G5" s="3" t="inlineStr">
        <is>
          <t>already cross-referenced from inflation_data_inventory.md §6 for the wage-price-spiral angle; this agent is the actual owner</t>
        </is>
      </c>
    </row>
    <row r="6" ht="34.05" customHeight="1">
      <c r="A6" s="3" t="inlineStr">
        <is>
          <t>Habitual average income, by formal/informal position and by sector</t>
        </is>
      </c>
      <c r="B6" s="3" t="inlineStr">
        <is>
          <t>macro_brasil.mt_pnad · rend_* (mirrors the ocup_* breakdown in §2), plus rend_media_nacional</t>
        </is>
      </c>
      <c r="C6" s="4" t="n"/>
      <c r="D6" s="4" t="n"/>
      <c r="E6" s="6" t="inlineStr">
        <is>
          <t>Yes</t>
        </is>
      </c>
      <c r="F6" s="3" t="inlineStr">
        <is>
          <t>3. Wages and income (PNAD Contínua)</t>
        </is>
      </c>
      <c r="G6" s="3" t="n"/>
    </row>
    <row r="7" ht="64.05" customHeight="1">
      <c r="A7" s="3" t="inlineStr">
        <is>
          <t>Effective average income — all jobs (real/nominal) and main job (real)</t>
        </is>
      </c>
      <c r="B7" s="3" t="inlineStr">
        <is>
          <t>macro_brasil.mt_pnad · rend_efetivo_real_todos_trabalhos, rend_efetivo_nominal_todos_trabalhos, rend_efetivo_real_trabalho_principal</t>
        </is>
      </c>
      <c r="C7" s="4" t="n"/>
      <c r="D7" s="4" t="n"/>
      <c r="E7" s="6" t="inlineStr">
        <is>
          <t>Yes</t>
        </is>
      </c>
      <c r="F7" s="3" t="inlineStr">
        <is>
          <t>3. Wages and income (PNAD Contínua)</t>
        </is>
      </c>
      <c r="G7" s="3" t="inlineStr">
        <is>
          <t>"habitual" vs. "effective" income is PNAD's own distinction between usual/regular earnings and actual earnings received in the reference period — useful for capturing irregular-income effects (common in informal work) that a habitual-only measure would miss</t>
        </is>
      </c>
    </row>
    <row r="8" ht="94.05" customHeight="1">
      <c r="A8" s="3" t="inlineStr">
        <is>
          <t>Net balance of admissions minus dismissals, total and by sector (14 series, CNAE 2.0: agriculture, extractive industry, manufacturing, utilities, waste management, construction, commerce, services, transport/storage/mail, lodging/food, information/communication, financial/insurance activities)</t>
        </is>
      </c>
      <c r="B8" s="3" t="inlineStr">
        <is>
          <t>macro_brasil.mt_caged · see domain/db/brasil/bcb/mt_caged.py</t>
        </is>
      </c>
      <c r="C8" s="4" t="inlineStr">
        <is>
          <t>1992 → today (per CLAUDE.md), script default window n_meses=24</t>
        </is>
      </c>
      <c r="D8" s="4" t="n"/>
      <c r="E8" s="6" t="inlineStr">
        <is>
          <t>Yes</t>
        </is>
      </c>
      <c r="F8" s="3" t="inlineStr">
        <is>
          <t>4. Formal employment flow (CAGED)</t>
        </is>
      </c>
      <c r="G8" s="3" t="n"/>
    </row>
    <row r="9" ht="199.05" customHeight="1">
      <c r="A9" s="3" t="inlineStr">
        <is>
          <t>No regional/state-level PNAD breakdown — blocks any Brazil replication of the wage curve (bibliography cluster 5) entirely, not just a nice-to-have</t>
        </is>
      </c>
      <c r="B9" s="3" t="n"/>
      <c r="C9" s="4" t="n"/>
      <c r="D9" s="4" t="inlineStr">
        <is>
          <t>High</t>
        </is>
      </c>
      <c r="E9" s="5" t="inlineStr">
        <is>
          <t>No</t>
        </is>
      </c>
      <c r="F9" s="3" t="inlineStr">
        <is>
          <t>1. Labor force condition and unemployment (PNAD Contínua)</t>
        </is>
      </c>
      <c r="G9" s="3" t="inlineStr">
        <is>
          <t>Script: domain/db/brasil/ibge/mt_pnad.py. IBGE aggregado 6318. Coverage per CLAUDE.md: 2024 → today — driven by the script's years_back=2 default; PNAD Contínua's actual series starts in 2012, so this is the same "short default window, deeper source available" pattern flagged repeatedly in the other three inventories (diferenciais_juros, atv_pmc/atv_pms). Structural limitation, not a pipeline gap: the script hardcodes region = "Brasil" (IBGE locality N1, national level only) — no state or metro-region breakdown exists. This isn't just a missing convenience: Blanchflower &amp; Oswald's wage curve (cluster 5) is fundamentally a cross-region empirical relationship, and can't be tested or replicated for Brazil at all without sub-national unemployment and wage data. This is the single highest-value structural extension identified in this inventory.</t>
        </is>
      </c>
    </row>
    <row r="10" ht="64.05" customHeight="1">
      <c r="A10" s="3" t="inlineStr">
        <is>
          <t>No vacancy/job-openings data for the Beveridge curve — may be a genuine data-availability gap, not just a pipeline backlog</t>
        </is>
      </c>
      <c r="B10" s="3" t="n"/>
      <c r="C10" s="4" t="n"/>
      <c r="D10" s="4" t="inlineStr">
        <is>
          <t>High</t>
        </is>
      </c>
      <c r="E10" s="5" t="inlineStr">
        <is>
          <t>No</t>
        </is>
      </c>
      <c r="F10" s="3" t="inlineStr">
        <is>
          <t>5. Vacancy data (for the Beveridge curve)</t>
        </is>
      </c>
      <c r="G10" s="3" t="inlineStr">
        <is>
          <t>Private job-board aggregate postings (e.g. Catho, InfoJobs, LinkedIn Brazil) — no public, systematically-collected series identified; would likely require a commercial data relationship rather than a public API.</t>
        </is>
      </c>
    </row>
    <row r="11" ht="184.05" customHeight="1">
      <c r="A11" s="3" t="inlineStr">
        <is>
          <t>No minimum wage series — small and cheap to build, surprising given its institutional weight (labor + fiscal)</t>
        </is>
      </c>
      <c r="B11" s="3" t="n"/>
      <c r="C11" s="4" t="n"/>
      <c r="D11" s="4" t="inlineStr">
        <is>
          <t>Medium</t>
        </is>
      </c>
      <c r="E11" s="5" t="inlineStr">
        <is>
          <t>No</t>
        </is>
      </c>
      <c r="F11" s="3" t="inlineStr">
        <is>
          <t>7. Minimum wage (salário mínimo)</t>
        </is>
      </c>
      <c r="G11" s="3" t="inlineStr">
        <is>
          <t>No series for the minimum wage itself exists anywhere in the database. This is a small, slow-moving, single-number series (updated annually, occasionally more often historically) — genuinely cheap to build — but its absence is notable given bibliography cluster 6's point that Brazil's minimum wage is unusually consequential: it's simultaneously a labor-market price floor and the indexing base for a large share of pension (Previdência) and social-benefit (BPC) payments, entangling its labor-market and fiscal effects more than in most economies. Possible source: likely a short, static lookup table (by effective date) rather than an API-driven series — similar in spirit to the inflation-target-parameters gap already flagged in monetary_policy_data_inventory.md §6 (small, slow-moving, easy once someone owns building it).</t>
        </is>
      </c>
    </row>
    <row r="12" ht="64.05" customHeight="1">
      <c r="A12" s="3" t="inlineStr">
        <is>
          <t>No NAWRU/NAIRU estimate computed — Borges (2022) methodology fully specified, purely an implementation gap</t>
        </is>
      </c>
      <c r="B12" s="3" t="n"/>
      <c r="C12" s="4" t="n"/>
      <c r="D12" s="4" t="inlineStr">
        <is>
          <t>Medium</t>
        </is>
      </c>
      <c r="E12" s="5" t="inlineStr">
        <is>
          <t>No</t>
        </is>
      </c>
      <c r="F12" s="3" t="inlineStr">
        <is>
          <t>6. Derived series not yet computed from existing owned data</t>
        </is>
      </c>
      <c r="G12" s="3" t="inlineStr">
        <is>
          <t>NAWRU/NAIRU estimate — Borges (2022)'s methodology (bibliography cluster 3) is fully specified (wage Phillips curve with unionization and capital/human-capital controls, 1996-2017 sample) but not implemented against current data.</t>
        </is>
      </c>
    </row>
    <row r="13" ht="49.05" customHeight="1">
      <c r="A13" s="3" t="inlineStr">
        <is>
          <t>No informality rate or unemployment rate computed as standalone derived series, despite raw components already existing</t>
        </is>
      </c>
      <c r="B13" s="3" t="n"/>
      <c r="C13" s="4" t="n"/>
      <c r="D13" s="4" t="inlineStr">
        <is>
          <t>Medium</t>
        </is>
      </c>
      <c r="E13" s="5" t="inlineStr">
        <is>
          <t>No</t>
        </is>
      </c>
      <c r="F13" s="3" t="inlineStr">
        <is>
          <t>6. Derived series not yet computed from existing owned data</t>
        </is>
      </c>
      <c r="G13" s="3" t="inlineStr">
        <is>
          <t>Informality rate — trivial to derive from §2's com_carteira/sem_carteira split (informal occupied ÷ total occupied), but not computed as a standalone series today.</t>
        </is>
      </c>
    </row>
    <row r="14" ht="124.05" customHeight="1">
      <c r="A14" s="3" t="inlineStr">
        <is>
          <t>No unionization rate series — needed as a Borges (2022) NAWRU control variable</t>
        </is>
      </c>
      <c r="B14" s="3" t="n"/>
      <c r="C14" s="4" t="n"/>
      <c r="D14" s="4" t="inlineStr">
        <is>
          <t>Low</t>
        </is>
      </c>
      <c r="E14" s="5" t="inlineStr">
        <is>
          <t>No</t>
        </is>
      </c>
      <c r="F14" s="3" t="inlineStr">
        <is>
          <t>8. Unionization rate</t>
        </is>
      </c>
      <c r="G14" s="3" t="inlineStr">
        <is>
          <t>Borges (2022)'s NAWRU methodology (bibliography cluster 3) explicitly uses taxa de sindicalização as a structural control variable — no such series exists in the database. IBGE's PNAD (both the older annual PNAD and the current PNAD Contínua, via its supplementary/annual modules) does ask about union membership, but it isn't currently among the aggregados the local mt_pnad.py script queries. Possible source: likely a specific IBGE PNAD Contínua supplementary-module aggregado (annual, not the core quarterly release) — not yet identified/confirmed.</t>
        </is>
      </c>
    </row>
    <row r="15" ht="199.05" customHeight="1">
      <c r="A15" s="3" t="inlineStr">
        <is>
          <t>mt_pnad defaults to 2024 → today despite PNAD Contínua existing since 2012</t>
        </is>
      </c>
      <c r="B15" s="3" t="n"/>
      <c r="C15" s="4" t="n"/>
      <c r="D15" s="4" t="inlineStr">
        <is>
          <t>Low</t>
        </is>
      </c>
      <c r="E15" s="5" t="inlineStr">
        <is>
          <t>No</t>
        </is>
      </c>
      <c r="F15" s="3" t="inlineStr">
        <is>
          <t>1. Labor force condition and unemployment (PNAD Contínua)</t>
        </is>
      </c>
      <c r="G15" s="3" t="inlineStr">
        <is>
          <t>Script: domain/db/brasil/ibge/mt_pnad.py. IBGE aggregado 6318. Coverage per CLAUDE.md: 2024 → today — driven by the script's years_back=2 default; PNAD Contínua's actual series starts in 2012, so this is the same "short default window, deeper source available" pattern flagged repeatedly in the other three inventories (diferenciais_juros, atv_pmc/atv_pms). Structural limitation, not a pipeline gap: the script hardcodes region = "Brasil" (IBGE locality N1, national level only) — no state or metro-region breakdown exists. This isn't just a missing convenience: Blanchflower &amp; Oswald's wage curve (cluster 5) is fundamentally a cross-region empirical relationship, and can't be tested or replicated for Brazil at all without sub-national unemployment and wage data. This is the single highest-value structural extension identified in this inventory.</t>
        </is>
      </c>
    </row>
    <row r="16" ht="154.05" customHeight="1">
      <c r="A16" s="3" t="inlineStr">
        <is>
          <t>mt_caged defaults to a 24-month window despite SGS history back to 1992</t>
        </is>
      </c>
      <c r="B16" s="3" t="n"/>
      <c r="C16" s="4" t="n"/>
      <c r="D16" s="4" t="inlineStr">
        <is>
          <t>Low</t>
        </is>
      </c>
      <c r="E16" s="5" t="inlineStr">
        <is>
          <t>No</t>
        </is>
      </c>
      <c r="F16" s="3" t="inlineStr">
        <is>
          <t>4. Formal employment flow (CAGED)</t>
        </is>
      </c>
      <c r="G16" s="3" t="inlineStr">
        <is>
          <t>BCB SGS (14 series). The administrative-registry complement to PNAD's household survey — CAGED only captures formal employment (it's built from the employer registry itself) and is typically released faster than PNAD, making it the more timely leading signal for formal job creation specifically, at the cost of missing the informal side entirely (which only PNAD, §2, can see). Gap: same short-default-window pattern as §1 — n_meses=24 default vs. a genuinely deep 1992+ source; a full backfill (start="all") would materially extend this table's usefulness for any cycle-length or structural-break analysis (e.g. around the 2017 labor reform).</t>
        </is>
      </c>
    </row>
    <row r="17" ht="49.05" customHeight="1">
      <c r="A17" s="3" t="inlineStr">
        <is>
          <t>No unit labor cost series computed (same gap restated from inflation_data_inventory.md §6)</t>
        </is>
      </c>
      <c r="B17" s="3" t="n"/>
      <c r="C17" s="4" t="n"/>
      <c r="D17" s="4" t="inlineStr">
        <is>
          <t>Low</t>
        </is>
      </c>
      <c r="E17" s="5" t="inlineStr">
        <is>
          <t>No</t>
        </is>
      </c>
      <c r="F17" s="3" t="inlineStr">
        <is>
          <t>6. Derived series not yet computed from existing owned data</t>
        </is>
      </c>
      <c r="G17" s="3" t="inlineStr">
        <is>
          <t>Unit labor cost — same gap already flagged in inflation_data_inventory.md §6, restated here since the underlying wage (§3) and — once available from economic activity — output/hours data would combine here.</t>
        </is>
      </c>
    </row>
    <row r="18" ht="49.05" customHeight="1">
      <c r="A18" s="3" t="inlineStr">
        <is>
          <t>CAGED admissions (§4) as an imperfect flow-based proxy for hiring</t>
        </is>
      </c>
      <c r="B18" s="3" t="n"/>
      <c r="C18" s="4" t="n"/>
      <c r="D18" s="4" t="n"/>
      <c r="E18" s="5" t="inlineStr">
        <is>
          <t>No</t>
        </is>
      </c>
      <c r="F18" s="3" t="inlineStr">
        <is>
          <t>5. Vacancy data (for the Beveridge curve)</t>
        </is>
      </c>
      <c r="G18" s="3" t="inlineStr">
        <is>
          <t>CAGED admissions (§4) as an imperfect flow-based proxy for hiring — captures realized hires, not open/unfilled positions, so it's a lagging substitute at best.</t>
        </is>
      </c>
    </row>
    <row r="19" ht="64.05" customHeight="1">
      <c r="A19" s="3" t="inlineStr">
        <is>
          <t>CNI (Confederação Nacional da Indústria) or FGV/IBRE business surveys sometimes ask firms about hiring intentions/diffic</t>
        </is>
      </c>
      <c r="B19" s="3" t="n"/>
      <c r="C19" s="4" t="n"/>
      <c r="D19" s="4" t="n"/>
      <c r="E19" s="5" t="inlineStr">
        <is>
          <t>No</t>
        </is>
      </c>
      <c r="F19" s="3" t="inlineStr">
        <is>
          <t>5. Vacancy data (for the Beveridge curve)</t>
        </is>
      </c>
      <c r="G19" s="3" t="inlineStr">
        <is>
          <t>CNI (Confederação Nacional da Indústria) or FGV/IBRE business surveys sometimes ask firms about hiring intentions/difficulty filling positions as a qualitative diffusion index — not yet investigated as a possible source.</t>
        </is>
      </c>
    </row>
    <row r="20" ht="49.05" customHeight="1">
      <c r="A20" s="3" t="inlineStr">
        <is>
          <t>Unemployment rate</t>
        </is>
      </c>
      <c r="B20" s="3" t="n"/>
      <c r="C20" s="4" t="n"/>
      <c r="D20" s="4" t="n"/>
      <c r="E20" s="5" t="inlineStr">
        <is>
          <t>No</t>
        </is>
      </c>
      <c r="F20" s="3" t="inlineStr">
        <is>
          <t>6. Derived series not yet computed from existing owned data</t>
        </is>
      </c>
      <c r="G20" s="3" t="inlineStr">
        <is>
          <t>Unemployment rate — desocupado ÷ (ocupado + desocupado) from §1's raw counts; same situation, a one-line derivation not yet materialized as its own column/series.</t>
        </is>
      </c>
    </row>
    <row r="21" ht="79.05" customHeight="1">
      <c r="A21" s="3" t="inlineStr">
        <is>
          <t>Output gap / potential output estimate — useful to help interpret whether a given unemployment-gap reading is demand-dri</t>
        </is>
      </c>
      <c r="B21" s="3" t="n"/>
      <c r="C21" s="4" t="n"/>
      <c r="D21" s="4" t="n"/>
      <c r="E21" s="8" t="inlineStr">
        <is>
          <t>Needs agent</t>
        </is>
      </c>
      <c r="F21" s="3" t="inlineStr">
        <is>
          <t>Tier 2 — From the economic activity agent</t>
        </is>
      </c>
      <c r="G21" s="3" t="inlineStr">
        <is>
          <t>Output gap / potential output estimate — useful to help interpret whether a given unemployment-gap reading is demand-driven (cyclical, closable by policy) or supply-side (structural, a NAIRU shift) — the labor-market mirror of the same ambiguity Gordon (1997, bibliography cluster 3) raises about the NAIRU itself moving over time.</t>
        </is>
      </c>
    </row>
    <row r="22" ht="79.05" customHeight="1">
      <c r="A22" s="3" t="inlineStr">
        <is>
          <t>GDP/value-added growth — needed alongside this agent's own hours/employment data</t>
        </is>
      </c>
      <c r="B22" s="3" t="n"/>
      <c r="C22" s="4" t="n"/>
      <c r="D22" s="4" t="n"/>
      <c r="E22" s="8" t="inlineStr">
        <is>
          <t>Needs agent</t>
        </is>
      </c>
      <c r="F22" s="3" t="inlineStr">
        <is>
          <t>Tier 2 — From the economic activity agent</t>
        </is>
      </c>
      <c r="G22" s="3" t="inlineStr">
        <is>
          <t>GDP/value-added growth — needed alongside this agent's own hours/employment data (§1-§3) to eventually compute a unit labor cost series (§6) or a labor-productivity read, complementing (not duplicating) economic_activity_data_inventory.md's own productivity section, which currently only has BCB's and FGV/IBRE's static report snapshots.</t>
        </is>
      </c>
    </row>
    <row r="23" ht="94.05" customHeight="1">
      <c r="A23" s="3" t="inlineStr">
        <is>
          <t>Minimum wage policy decisions and the Previdência/BPC indexation rule — the policy driver behind §7's proposed minimum-w</t>
        </is>
      </c>
      <c r="B23" s="3" t="n"/>
      <c r="C23" s="4" t="n"/>
      <c r="D23" s="4" t="n"/>
      <c r="E23" s="8" t="inlineStr">
        <is>
          <t>Needs agent</t>
        </is>
      </c>
      <c r="F23" s="3" t="inlineStr">
        <is>
          <t>Tier 2 — From a future fiscal agent</t>
        </is>
      </c>
      <c r="G23" s="3" t="inlineStr">
        <is>
          <t>Minimum wage policy decisions and the Previdência/BPC indexation rule — the policy driver behind §7's proposed minimum-wage series; without it, the agent can record the level but not the political-economy reasoning behind a given adjustment (echoing how inflation_data_inventory.md flags the same "series exists, policy driver doesn't" gap for administered prices).</t>
        </is>
      </c>
    </row>
    <row r="24" ht="94.05" customHeight="1">
      <c r="A24" s="3" t="inlineStr">
        <is>
          <t>Not much identified yet — the labor market agent is unusually domestic-facing relative to the other three agents built s</t>
        </is>
      </c>
      <c r="B24" s="3" t="n"/>
      <c r="C24" s="4" t="n"/>
      <c r="D24" s="4" t="n"/>
      <c r="E24" s="8" t="inlineStr">
        <is>
          <t>Needs agent</t>
        </is>
      </c>
      <c r="F24" s="3" t="inlineStr">
        <is>
          <t>Tier 2 — From a possible future global/markets agent (not yet scoped at all)</t>
        </is>
      </c>
      <c r="G24" s="3" t="inlineStr">
        <is>
          <t>Not much identified yet — the labor market agent is unusually domestic-facing relative to the other three agents built so far, which all have a meaningful international/cross-country component (exchange rate peers, DM/EM inflation comparison, world commodity shocks). Flagged here only for completeness, not because a specific gap was identified.</t>
        </is>
      </c>
    </row>
  </sheetData>
  <autoFilter ref="A1:G2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27"/>
  <sheetViews>
    <sheetView showGridLines="0" workbookViewId="0">
      <pane ySplit="1" topLeftCell="A2" activePane="bottomLeft" state="frozen"/>
      <selection pane="bottomLeft" activeCell="A1" sqref="A1"/>
    </sheetView>
  </sheetViews>
  <sheetFormatPr baseColWidth="8" defaultRowHeight="14.4"/>
  <cols>
    <col width="42" customWidth="1" min="1" max="1"/>
    <col width="28" customWidth="1" min="2" max="2"/>
    <col width="12" customWidth="1" min="3" max="3"/>
    <col width="10" customWidth="1" min="4" max="4"/>
    <col width="14.109375" customWidth="1" min="5" max="5"/>
    <col width="20" customWidth="1" min="6" max="6"/>
    <col width="27.88671875" customWidth="1" min="7" max="7"/>
    <col width="55" customWidth="1" min="8" max="8"/>
    <col width="30" customWidth="1" min="9" max="9"/>
    <col width="44" customWidth="1" min="10" max="10"/>
    <col width="16" customWidth="1" min="11" max="11"/>
    <col width="15" customWidth="1" min="12" max="12"/>
    <col width="22" customWidth="1" min="13" max="13"/>
    <col width="36" customWidth="1" min="14" max="14"/>
    <col width="11" customWidth="1" min="15" max="15"/>
    <col width="40" customWidth="1" min="16" max="16"/>
  </cols>
  <sheetData>
    <row r="1" ht="27.6" customHeight="1">
      <c r="A1" s="1" t="inlineStr">
        <is>
          <t>Name</t>
        </is>
      </c>
      <c r="B1" s="1" t="inlineStr">
        <is>
          <t>Autor/Company</t>
        </is>
      </c>
      <c r="C1" s="1" t="inlineStr">
        <is>
          <t>Date</t>
        </is>
      </c>
      <c r="D1" s="1" t="inlineStr">
        <is>
          <t>Importance (1-5)</t>
        </is>
      </c>
      <c r="E1" s="1" t="inlineStr">
        <is>
          <t>Do we have it?</t>
        </is>
      </c>
      <c r="F1" s="1" t="inlineStr">
        <is>
          <t>Type</t>
        </is>
      </c>
      <c r="G1" s="1" t="inlineStr">
        <is>
          <t>Cluster</t>
        </is>
      </c>
      <c r="H1" s="1" t="inlineStr">
        <is>
          <t>Why</t>
        </is>
      </c>
      <c r="I1" s="1" t="inlineStr">
        <is>
          <t>Comments</t>
        </is>
      </c>
      <c r="J1" s="42" t="inlineStr">
        <is>
          <t>File</t>
        </is>
      </c>
      <c r="K1" s="42" t="inlineStr">
        <is>
          <t>Ingestion</t>
        </is>
      </c>
      <c r="L1" s="42" t="inlineStr">
        <is>
          <t>Ingested on</t>
        </is>
      </c>
      <c r="M1" s="42" t="inlineStr">
        <is>
          <t>Extraction</t>
        </is>
      </c>
      <c r="N1" s="42" t="inlineStr">
        <is>
          <t>QC flags</t>
        </is>
      </c>
      <c r="O1" s="42" t="inlineStr">
        <is>
          <t>Synthesis</t>
        </is>
      </c>
      <c r="P1" s="42" t="inlineStr">
        <is>
          <t>Ingestion note</t>
        </is>
      </c>
    </row>
    <row r="2" ht="79" customHeight="1">
      <c r="A2" s="51" t="inlineStr">
        <is>
          <t>Global Macro Rules (Ch. 2)</t>
        </is>
      </c>
      <c r="B2" s="51" t="inlineStr">
        <is>
          <t>Willer, Chandran &amp; Lam</t>
        </is>
      </c>
      <c r="C2" s="52" t="n">
        <v>2020</v>
      </c>
      <c r="D2" s="52" t="n">
        <v>5</v>
      </c>
      <c r="E2" s="53" t="inlineStr">
        <is>
          <t>Yes</t>
        </is>
      </c>
      <c r="F2" s="51" t="inlineStr">
        <is>
          <t>Book chapter</t>
        </is>
      </c>
      <c r="G2" s="51" t="inlineStr">
        <is>
          <t>#macro_trading_framework</t>
        </is>
      </c>
      <c r="H2" s="51" t="inlineStr">
        <is>
          <t>The EM rulebook of the trader's book: returns are about 65% global and 35% local factors, and it maps each global view (US rates, EUR, commodities, risk aversion, US HY spreads) to the EM rates/FX block that outperforms. The direct bridge from a global call to a Brazil trade.</t>
        </is>
      </c>
      <c r="I2" s="51" t="inlineStr">
        <is>
          <t>Trading Fixed Income and FX in Emerging Markets (Willer, Chandran &amp; Lam, Wiley, 2020).</t>
        </is>
      </c>
      <c r="J2" s="51" t="inlineStr">
        <is>
          <t>global_macro_rules_ch2 (Willer, Chandran &amp; Lam, 2020)</t>
        </is>
      </c>
      <c r="K2" s="53" t="inlineStr">
        <is>
          <t>Ingested</t>
        </is>
      </c>
      <c r="L2" s="52" t="inlineStr">
        <is>
          <t>2026-10-20</t>
        </is>
      </c>
      <c r="M2" s="51" t="inlineStr">
        <is>
          <t>reclean (cleaner change)</t>
        </is>
      </c>
      <c r="N2" s="51" t="n"/>
      <c r="O2" s="52" t="n"/>
      <c r="P2" s="51" t="n"/>
    </row>
    <row r="3" ht="79" customHeight="1">
      <c r="A3" s="51" t="inlineStr">
        <is>
          <t>Global Macro Rules (Ch. 2)</t>
        </is>
      </c>
      <c r="B3" s="51" t="inlineStr">
        <is>
          <t>Willer &amp; Saunders</t>
        </is>
      </c>
      <c r="C3" s="52" t="n">
        <v>2024</v>
      </c>
      <c r="D3" s="52" t="n">
        <v>4</v>
      </c>
      <c r="E3" s="53" t="inlineStr">
        <is>
          <t>Yes</t>
        </is>
      </c>
      <c r="F3" s="51" t="inlineStr">
        <is>
          <t>Book chapter</t>
        </is>
      </c>
      <c r="G3" s="51" t="inlineStr">
        <is>
          <t>#macro_trading_framework</t>
        </is>
      </c>
      <c r="H3" s="51" t="inlineStr">
        <is>
          <t>What global macro is and how macro funds make money: long-run fund performance, the sources of return, the case for macro in a QT world (expensive equities, higher volatility, rates bets with the best Sharpe), and what counts as good performance.</t>
        </is>
      </c>
      <c r="I3" s="51" t="inlineStr">
        <is>
          <t>Trading Global Macro Markets (Willer &amp; Saunders, Wiley, 2024).</t>
        </is>
      </c>
      <c r="J3" s="51" t="inlineStr">
        <is>
          <t>global_macro_rules_ch2 (Willer &amp; Saunders, 2024)</t>
        </is>
      </c>
      <c r="K3" s="53" t="inlineStr">
        <is>
          <t>Ingested</t>
        </is>
      </c>
      <c r="L3" s="52" t="inlineStr">
        <is>
          <t>2026-10-20</t>
        </is>
      </c>
      <c r="M3" s="51" t="inlineStr">
        <is>
          <t>reclean (cleaner change)</t>
        </is>
      </c>
      <c r="N3" s="51" t="n"/>
      <c r="O3" s="52" t="n"/>
      <c r="P3" s="51" t="n"/>
    </row>
    <row r="4" ht="79" customHeight="1">
      <c r="A4" s="51" t="inlineStr">
        <is>
          <t>It's the Business Cycle, Stupid (Ch. 3)</t>
        </is>
      </c>
      <c r="B4" s="51" t="inlineStr">
        <is>
          <t>Willer &amp; Saunders</t>
        </is>
      </c>
      <c r="C4" s="52" t="n">
        <v>2024</v>
      </c>
      <c r="D4" s="52" t="n">
        <v>5</v>
      </c>
      <c r="E4" s="53" t="inlineStr">
        <is>
          <t>Yes</t>
        </is>
      </c>
      <c r="F4" s="51" t="inlineStr">
        <is>
          <t>Book chapter</t>
        </is>
      </c>
      <c r="G4" s="51" t="inlineStr">
        <is>
          <t>#macro_trading_framework</t>
        </is>
      </c>
      <c r="H4" s="51" t="inlineStr">
        <is>
          <t>The book's master signal: boom-to-bust dynamics, which indicators lead (fundamentally and in price), how useful recession forecasts are, how to trade a US recession, inflation as the third mandate, and how the US, China, Europe and India cycles relate.</t>
        </is>
      </c>
      <c r="I4" s="51" t="inlineStr">
        <is>
          <t>Trading Global Macro Markets (Willer &amp; Saunders, Wiley, 2024).</t>
        </is>
      </c>
      <c r="J4" s="51" t="inlineStr">
        <is>
          <t>business_cycle_framework_ch3 (Willer &amp; Saunders, 2024)</t>
        </is>
      </c>
      <c r="K4" s="53" t="inlineStr">
        <is>
          <t>Ingested</t>
        </is>
      </c>
      <c r="L4" s="52" t="inlineStr">
        <is>
          <t>2026-10-20</t>
        </is>
      </c>
      <c r="M4" s="51" t="inlineStr">
        <is>
          <t>reclean (cleaner change)</t>
        </is>
      </c>
      <c r="N4" s="51" t="n"/>
      <c r="O4" s="52" t="n"/>
      <c r="P4" s="51" t="n"/>
    </row>
    <row r="5" ht="64" customHeight="1">
      <c r="A5" s="51" t="inlineStr">
        <is>
          <t>Temporary Turmoil: Markets and (Geo) Politics (Ch. 4)</t>
        </is>
      </c>
      <c r="B5" s="51" t="inlineStr">
        <is>
          <t>Willer &amp; Saunders</t>
        </is>
      </c>
      <c r="C5" s="52" t="n">
        <v>2024</v>
      </c>
      <c r="D5" s="52" t="n">
        <v>3</v>
      </c>
      <c r="E5" s="53" t="inlineStr">
        <is>
          <t>Yes</t>
        </is>
      </c>
      <c r="F5" s="51" t="inlineStr">
        <is>
          <t>Book chapter</t>
        </is>
      </c>
      <c r="G5" s="51" t="inlineStr">
        <is>
          <t>#macro_trading_framework</t>
        </is>
      </c>
      <c r="H5" s="51" t="inlineStr">
        <is>
          <t>How geopolitical shocks, oil supply conflicts, tariff wars and elections move markets, and why the impact is usually temporary. The framework for event risk the agent will face around elections.</t>
        </is>
      </c>
      <c r="I5" s="51" t="inlineStr">
        <is>
          <t>Trading Global Macro Markets (Willer &amp; Saunders, Wiley, 2024).</t>
        </is>
      </c>
      <c r="J5" s="51" t="inlineStr">
        <is>
          <t>geopolitics_and_markets_ch4 (Willer &amp; Saunders, 2024)</t>
        </is>
      </c>
      <c r="K5" s="53" t="inlineStr">
        <is>
          <t>Ingested</t>
        </is>
      </c>
      <c r="L5" s="52" t="inlineStr">
        <is>
          <t>2026-10-20</t>
        </is>
      </c>
      <c r="M5" s="51" t="inlineStr">
        <is>
          <t>reclean (cleaner change)</t>
        </is>
      </c>
      <c r="N5" s="51" t="n"/>
      <c r="O5" s="52" t="n"/>
      <c r="P5" s="51" t="n"/>
    </row>
    <row r="6" ht="64" customHeight="1">
      <c r="A6" s="51" t="inlineStr">
        <is>
          <t>EMFX and Fixed Income: Where the Opportunities Lie (Ch. 1)</t>
        </is>
      </c>
      <c r="B6" s="51" t="inlineStr">
        <is>
          <t>Willer, Chandran &amp; Lam</t>
        </is>
      </c>
      <c r="C6" s="52" t="n">
        <v>2020</v>
      </c>
      <c r="D6" s="52" t="n">
        <v>3</v>
      </c>
      <c r="E6" s="53" t="inlineStr">
        <is>
          <t>Yes</t>
        </is>
      </c>
      <c r="F6" s="51" t="inlineStr">
        <is>
          <t>Book chapter</t>
        </is>
      </c>
      <c r="G6" s="51" t="inlineStr">
        <is>
          <t>#em_landscape</t>
        </is>
      </c>
      <c r="H6" s="51" t="inlineStr">
        <is>
          <t>Why EM debt and FX matter: the growth of the asset class, its risk-adjusted returns against EMBI, CEMBI, US HY and global bonds, and EM as an alpha opportunity.</t>
        </is>
      </c>
      <c r="I6" s="51" t="inlineStr">
        <is>
          <t>Trading Fixed Income and FX in Emerging Markets (Willer, Chandran &amp; Lam, Wiley, 2020).</t>
        </is>
      </c>
      <c r="J6" s="51" t="inlineStr">
        <is>
          <t>emfx_fixed_income_opportunities_ch1 (Willer, Chandran &amp; Lam, 2020)</t>
        </is>
      </c>
      <c r="K6" s="53" t="inlineStr">
        <is>
          <t>Ingested</t>
        </is>
      </c>
      <c r="L6" s="52" t="inlineStr">
        <is>
          <t>2026-10-20</t>
        </is>
      </c>
      <c r="M6" s="51" t="inlineStr">
        <is>
          <t>reclean (cleaner change)</t>
        </is>
      </c>
      <c r="N6" s="51" t="n"/>
      <c r="O6" s="52" t="n"/>
      <c r="P6" s="51" t="n"/>
    </row>
    <row r="7" ht="64" customHeight="1">
      <c r="A7" s="51" t="inlineStr">
        <is>
          <t>China: The Only Emerging Market that Counts (Ch. 3)</t>
        </is>
      </c>
      <c r="B7" s="51" t="inlineStr">
        <is>
          <t>Willer, Chandran &amp; Lam</t>
        </is>
      </c>
      <c r="C7" s="52" t="n">
        <v>2020</v>
      </c>
      <c r="D7" s="52" t="n">
        <v>4</v>
      </c>
      <c r="E7" s="53" t="inlineStr">
        <is>
          <t>Yes</t>
        </is>
      </c>
      <c r="F7" s="51" t="inlineStr">
        <is>
          <t>Book chapter</t>
        </is>
      </c>
      <c r="G7" s="51" t="inlineStr">
        <is>
          <t>#em_landscape</t>
        </is>
      </c>
      <c r="H7" s="51" t="inlineStr">
        <is>
          <t>China as the driver of the global/EM cycle: the commodity link, leverage, the fading current-account surplus, the capital account, reading the CNY, CGBs, and whether EM can decouple. Central for a commodity exporter like Brazil.</t>
        </is>
      </c>
      <c r="I7" s="51" t="inlineStr">
        <is>
          <t>Trading Fixed Income and FX in Emerging Markets (Willer, Chandran &amp; Lam, Wiley, 2020).</t>
        </is>
      </c>
      <c r="J7" s="51" t="inlineStr">
        <is>
          <t>china_only_em_that_counts_ch3 (Willer, Chandran &amp; Lam, 2020)</t>
        </is>
      </c>
      <c r="K7" s="53" t="inlineStr">
        <is>
          <t>Ingested</t>
        </is>
      </c>
      <c r="L7" s="52" t="inlineStr">
        <is>
          <t>2026-10-20</t>
        </is>
      </c>
      <c r="M7" s="51" t="inlineStr">
        <is>
          <t>reclean (cleaner change)</t>
        </is>
      </c>
      <c r="N7" s="51" t="n"/>
      <c r="O7" s="52" t="n"/>
      <c r="P7" s="51" t="n"/>
    </row>
    <row r="8" ht="64" customHeight="1">
      <c r="A8" s="51" t="inlineStr">
        <is>
          <t>The (Near) Future: Big Data, Machine Learning, and What if There Are No Emerging Markets Left (Ch. 11)</t>
        </is>
      </c>
      <c r="B8" s="51" t="inlineStr">
        <is>
          <t>Willer, Chandran &amp; Lam</t>
        </is>
      </c>
      <c r="C8" s="52" t="n">
        <v>2020</v>
      </c>
      <c r="D8" s="52" t="n">
        <v>2</v>
      </c>
      <c r="E8" s="53" t="inlineStr">
        <is>
          <t>Yes</t>
        </is>
      </c>
      <c r="F8" s="51" t="inlineStr">
        <is>
          <t>Book chapter</t>
        </is>
      </c>
      <c r="G8" s="51" t="inlineStr">
        <is>
          <t>#em_landscape</t>
        </is>
      </c>
      <c r="H8" s="51" t="inlineStr">
        <is>
          <t>Big data and machine-learning signals in fixed income (with EM, BRL and EUR examples) and whether EM survives as a category. Peripheral to the agent's analysis.</t>
        </is>
      </c>
      <c r="I8" s="51" t="inlineStr">
        <is>
          <t>Trading Fixed Income and FX in Emerging Markets (Willer, Chandran &amp; Lam, Wiley, 2020).</t>
        </is>
      </c>
      <c r="J8" s="51" t="inlineStr">
        <is>
          <t>future_big_data_machine_learning_ch11 (Willer, Chandran &amp; Lam, 2020)</t>
        </is>
      </c>
      <c r="K8" s="53" t="inlineStr">
        <is>
          <t>Ingested</t>
        </is>
      </c>
      <c r="L8" s="52" t="inlineStr">
        <is>
          <t>2026-10-20</t>
        </is>
      </c>
      <c r="M8" s="51" t="inlineStr">
        <is>
          <t>reclean (cleaner change)</t>
        </is>
      </c>
      <c r="N8" s="51" t="n"/>
      <c r="O8" s="52" t="n"/>
      <c r="P8" s="51" t="n"/>
    </row>
    <row r="9" ht="79" customHeight="1">
      <c r="A9" s="51" t="inlineStr">
        <is>
          <t>How to Trade Rates: A Framework (Ch. 5)</t>
        </is>
      </c>
      <c r="B9" s="51" t="inlineStr">
        <is>
          <t>Willer &amp; Saunders</t>
        </is>
      </c>
      <c r="C9" s="52" t="n">
        <v>2024</v>
      </c>
      <c r="D9" s="52" t="n">
        <v>5</v>
      </c>
      <c r="E9" s="53" t="inlineStr">
        <is>
          <t>Yes</t>
        </is>
      </c>
      <c r="F9" s="51" t="inlineStr">
        <is>
          <t>Book chapter</t>
        </is>
      </c>
      <c r="G9" s="51" t="inlineStr">
        <is>
          <t>#rates</t>
        </is>
      </c>
      <c r="H9" s="51" t="inlineStr">
        <is>
          <t>The core rates playbook: the Fed as the driver, how to trade hiking and easing cycles, oil and equities as signals for hikes, curve trades, supply, and the limited use of valuation and trend following.</t>
        </is>
      </c>
      <c r="I9" s="51" t="inlineStr">
        <is>
          <t>Trading Global Macro Markets (Willer &amp; Saunders, Wiley, 2024).</t>
        </is>
      </c>
      <c r="J9" s="51" t="inlineStr">
        <is>
          <t>trading_rates_framework_ch5 (Willer &amp; Saunders, 2024)</t>
        </is>
      </c>
      <c r="K9" s="53" t="inlineStr">
        <is>
          <t>Ingested</t>
        </is>
      </c>
      <c r="L9" s="52" t="inlineStr">
        <is>
          <t>2026-10-20</t>
        </is>
      </c>
      <c r="M9" s="51" t="inlineStr">
        <is>
          <t>reclean (cleaner change)</t>
        </is>
      </c>
      <c r="N9" s="51" t="n"/>
      <c r="O9" s="52" t="n"/>
      <c r="P9" s="51" t="n"/>
    </row>
    <row r="10" ht="64" customHeight="1">
      <c r="A10" s="51" t="inlineStr">
        <is>
          <t>How to Trade Rates: The Tactics (Ch. 6)</t>
        </is>
      </c>
      <c r="B10" s="51" t="inlineStr">
        <is>
          <t>Willer &amp; Saunders</t>
        </is>
      </c>
      <c r="C10" s="52" t="n">
        <v>2024</v>
      </c>
      <c r="D10" s="52" t="n">
        <v>4</v>
      </c>
      <c r="E10" s="53" t="inlineStr">
        <is>
          <t>Yes</t>
        </is>
      </c>
      <c r="F10" s="51" t="inlineStr">
        <is>
          <t>Book chapter</t>
        </is>
      </c>
      <c r="G10" s="51" t="inlineStr">
        <is>
          <t>#rates</t>
        </is>
      </c>
      <c r="H10" s="51" t="inlineStr">
        <is>
          <t>Tactical rates trading: the anatomy of a sell-off, reading the FOMC, trading payrolls, the CESI as a quick read of the economy, and when safe-haven bonds fail.</t>
        </is>
      </c>
      <c r="I10" s="51" t="inlineStr">
        <is>
          <t>Trading Global Macro Markets (Willer &amp; Saunders, Wiley, 2024).</t>
        </is>
      </c>
      <c r="J10" s="51" t="inlineStr">
        <is>
          <t>trading_rates_tactics_ch6 (Willer &amp; Saunders, 2024)</t>
        </is>
      </c>
      <c r="K10" s="53" t="inlineStr">
        <is>
          <t>Ingested</t>
        </is>
      </c>
      <c r="L10" s="52" t="inlineStr">
        <is>
          <t>2026-10-20</t>
        </is>
      </c>
      <c r="M10" s="51" t="inlineStr">
        <is>
          <t>reclean (cleaner change)</t>
        </is>
      </c>
      <c r="N10" s="51" t="n"/>
      <c r="O10" s="52" t="n"/>
      <c r="P10" s="51" t="n"/>
    </row>
    <row r="11" ht="64" customHeight="1">
      <c r="A11" s="51" t="inlineStr">
        <is>
          <t>How to Trade Rates: Globalizing (Ch. 7)</t>
        </is>
      </c>
      <c r="B11" s="51" t="inlineStr">
        <is>
          <t>Willer &amp; Saunders</t>
        </is>
      </c>
      <c r="C11" s="52" t="n">
        <v>2024</v>
      </c>
      <c r="D11" s="52" t="n">
        <v>4</v>
      </c>
      <c r="E11" s="53" t="inlineStr">
        <is>
          <t>Yes</t>
        </is>
      </c>
      <c r="F11" s="51" t="inlineStr">
        <is>
          <t>Book chapter</t>
        </is>
      </c>
      <c r="G11" s="51" t="inlineStr">
        <is>
          <t>#rates</t>
        </is>
      </c>
      <c r="H11" s="51" t="inlineStr">
        <is>
          <t>How far global rates can diverge from the Fed: Bunds, Gilts (the 2022 BoE episode) and the euro periphery, with cross-market regressions. The template for how far a local curve can decouple.</t>
        </is>
      </c>
      <c r="I11" s="51" t="inlineStr">
        <is>
          <t>Trading Global Macro Markets (Willer &amp; Saunders, Wiley, 2024).</t>
        </is>
      </c>
      <c r="J11" s="51" t="inlineStr">
        <is>
          <t>trading_rates_globalizing_ch7 (Willer &amp; Saunders, 2024)</t>
        </is>
      </c>
      <c r="K11" s="53" t="inlineStr">
        <is>
          <t>Ingested</t>
        </is>
      </c>
      <c r="L11" s="52" t="inlineStr">
        <is>
          <t>2026-10-20</t>
        </is>
      </c>
      <c r="M11" s="51" t="inlineStr">
        <is>
          <t>reclean (cleaner change)</t>
        </is>
      </c>
      <c r="N11" s="51" t="n"/>
      <c r="O11" s="52" t="n"/>
      <c r="P11" s="51" t="n"/>
    </row>
    <row r="12" ht="64" customHeight="1">
      <c r="A12" s="51" t="inlineStr">
        <is>
          <t>How to Trade Emerging Market Rates: The Cycle (Ch. 6)</t>
        </is>
      </c>
      <c r="B12" s="51" t="inlineStr">
        <is>
          <t>Willer, Chandran &amp; Lam</t>
        </is>
      </c>
      <c r="C12" s="52" t="n">
        <v>2020</v>
      </c>
      <c r="D12" s="52" t="n">
        <v>5</v>
      </c>
      <c r="E12" s="53" t="inlineStr">
        <is>
          <t>Yes</t>
        </is>
      </c>
      <c r="F12" s="51" t="inlineStr">
        <is>
          <t>Book chapter</t>
        </is>
      </c>
      <c r="G12" s="51" t="inlineStr">
        <is>
          <t>#rates</t>
        </is>
      </c>
      <c r="H12" s="51" t="inlineStr">
        <is>
          <t>EM rates through the policy cycle: receive around the last hike, pay into the first hike, curve steepeners/flatteners, QE, and EMFX and commodity prices as constraints on EM central banks. The closest chapter to trading the DI curve against the Copom.</t>
        </is>
      </c>
      <c r="I12" s="51" t="inlineStr">
        <is>
          <t>Trading Fixed Income and FX in Emerging Markets (Willer, Chandran &amp; Lam, Wiley, 2020).</t>
        </is>
      </c>
      <c r="J12" s="51" t="inlineStr">
        <is>
          <t>how_to_trade_em_rates_cycle_ch6 (Willer, Chandran &amp; Lam, 2020)</t>
        </is>
      </c>
      <c r="K12" s="53" t="inlineStr">
        <is>
          <t>Ingested</t>
        </is>
      </c>
      <c r="L12" s="52" t="inlineStr">
        <is>
          <t>2026-10-20</t>
        </is>
      </c>
      <c r="M12" s="51" t="inlineStr">
        <is>
          <t>reclean (cleaner change)</t>
        </is>
      </c>
      <c r="N12" s="51" t="n"/>
      <c r="O12" s="52" t="n"/>
      <c r="P12" s="51" t="n"/>
    </row>
    <row r="13" ht="64" customHeight="1">
      <c r="A13" s="51" t="inlineStr">
        <is>
          <t>Real Rates: Simply Superior (Ch. 7)</t>
        </is>
      </c>
      <c r="B13" s="51" t="inlineStr">
        <is>
          <t>Willer, Chandran &amp; Lam</t>
        </is>
      </c>
      <c r="C13" s="52" t="n">
        <v>2020</v>
      </c>
      <c r="D13" s="52" t="n">
        <v>4</v>
      </c>
      <c r="E13" s="53" t="inlineStr">
        <is>
          <t>Yes</t>
        </is>
      </c>
      <c r="F13" s="51" t="inlineStr">
        <is>
          <t>Book chapter</t>
        </is>
      </c>
      <c r="G13" s="51" t="inlineStr">
        <is>
          <t>#rates</t>
        </is>
      </c>
      <c r="H13" s="51" t="inlineStr">
        <is>
          <t>EM inflation-linked bonds: buy-and-hold linkers, how to improve on it, fair value of breakevens and real rates, and structural drivers. Directly relevant to NTN-Bs.</t>
        </is>
      </c>
      <c r="I13" s="51" t="inlineStr">
        <is>
          <t>Trading Fixed Income and FX in Emerging Markets (Willer, Chandran &amp; Lam, Wiley, 2020).</t>
        </is>
      </c>
      <c r="J13" s="51" t="inlineStr">
        <is>
          <t>real_rates_simply_superior_ch7 (Willer, Chandran &amp; Lam, 2020)</t>
        </is>
      </c>
      <c r="K13" s="53" t="inlineStr">
        <is>
          <t>Ingested</t>
        </is>
      </c>
      <c r="L13" s="52" t="inlineStr">
        <is>
          <t>2026-10-20</t>
        </is>
      </c>
      <c r="M13" s="51" t="inlineStr">
        <is>
          <t>reclean (cleaner change)</t>
        </is>
      </c>
      <c r="N13" s="51" t="n"/>
      <c r="O13" s="52" t="n"/>
      <c r="P13" s="51" t="n"/>
    </row>
    <row r="14" ht="64" customHeight="1">
      <c r="A14" s="51" t="inlineStr">
        <is>
          <t>How to Trade EM Rates: Event Guide (Ch. 8)</t>
        </is>
      </c>
      <c r="B14" s="51" t="inlineStr">
        <is>
          <t>Willer, Chandran &amp; Lam</t>
        </is>
      </c>
      <c r="C14" s="52" t="n">
        <v>2020</v>
      </c>
      <c r="D14" s="52" t="n">
        <v>4</v>
      </c>
      <c r="E14" s="53" t="inlineStr">
        <is>
          <t>Yes</t>
        </is>
      </c>
      <c r="F14" s="51" t="inlineStr">
        <is>
          <t>Book chapter</t>
        </is>
      </c>
      <c r="G14" s="51" t="inlineStr">
        <is>
          <t>#rates</t>
        </is>
      </c>
      <c r="H14" s="51" t="inlineStr">
        <is>
          <t>Event playbook for EM rates: trading data releases, accepting negative carry, index inclusion flows, and domestic disasters.</t>
        </is>
      </c>
      <c r="I14" s="51" t="inlineStr">
        <is>
          <t>Trading Fixed Income and FX in Emerging Markets (Willer, Chandran &amp; Lam, Wiley, 2020).</t>
        </is>
      </c>
      <c r="J14" s="51" t="inlineStr">
        <is>
          <t>how_to_trade_em_rates_event_guide_ch8 (Willer, Chandran &amp; Lam, 2020)</t>
        </is>
      </c>
      <c r="K14" s="53" t="inlineStr">
        <is>
          <t>Ingested</t>
        </is>
      </c>
      <c r="L14" s="52" t="inlineStr">
        <is>
          <t>2026-10-20</t>
        </is>
      </c>
      <c r="M14" s="51" t="inlineStr">
        <is>
          <t>reclean (cleaner change)</t>
        </is>
      </c>
      <c r="N14" s="51" t="n"/>
      <c r="O14" s="52" t="n"/>
      <c r="P14" s="51" t="n"/>
    </row>
    <row r="15" ht="64" customHeight="1">
      <c r="A15" s="51" t="inlineStr">
        <is>
          <t>How to Trade FX: The Framework (Ch. 12)</t>
        </is>
      </c>
      <c r="B15" s="51" t="inlineStr">
        <is>
          <t>Willer &amp; Saunders</t>
        </is>
      </c>
      <c r="C15" s="52" t="n">
        <v>2024</v>
      </c>
      <c r="D15" s="52" t="n">
        <v>5</v>
      </c>
      <c r="E15" s="53" t="inlineStr">
        <is>
          <t>Yes</t>
        </is>
      </c>
      <c r="F15" s="51" t="inlineStr">
        <is>
          <t>Book chapter</t>
        </is>
      </c>
      <c r="G15" s="51" t="inlineStr">
        <is>
          <t>#fx</t>
        </is>
      </c>
      <c r="H15" s="51" t="inlineStr">
        <is>
          <t>The structural FX framework: the USD smile/smirk, the USD and the business cycle (CESI regimes), the USD in bubbles, and the JPY as a special case, with carry and risk-aversion conditioning.</t>
        </is>
      </c>
      <c r="I15" s="51" t="inlineStr">
        <is>
          <t>Trading Global Macro Markets (Willer &amp; Saunders, Wiley, 2024).</t>
        </is>
      </c>
      <c r="J15" s="51" t="inlineStr">
        <is>
          <t>trading_fx_framework_ch12 (Willer &amp; Saunders, 2024)</t>
        </is>
      </c>
      <c r="K15" s="53" t="inlineStr">
        <is>
          <t>Ingested</t>
        </is>
      </c>
      <c r="L15" s="52" t="inlineStr">
        <is>
          <t>2026-10-20</t>
        </is>
      </c>
      <c r="M15" s="51" t="inlineStr">
        <is>
          <t>reclean (cleaner change)</t>
        </is>
      </c>
      <c r="N15" s="51" t="n"/>
      <c r="O15" s="52" t="n"/>
      <c r="P15" s="51" t="n"/>
    </row>
    <row r="16" ht="64" customHeight="1">
      <c r="A16" s="51" t="inlineStr">
        <is>
          <t>How to Trade FX: The Tactics (Ch. 13)</t>
        </is>
      </c>
      <c r="B16" s="51" t="inlineStr">
        <is>
          <t>Willer &amp; Saunders</t>
        </is>
      </c>
      <c r="C16" s="52" t="n">
        <v>2024</v>
      </c>
      <c r="D16" s="52" t="n">
        <v>5</v>
      </c>
      <c r="E16" s="53" t="inlineStr">
        <is>
          <t>Yes</t>
        </is>
      </c>
      <c r="F16" s="51" t="inlineStr">
        <is>
          <t>Book chapter</t>
        </is>
      </c>
      <c r="G16" s="51" t="inlineStr">
        <is>
          <t>#fx</t>
        </is>
      </c>
      <c r="H16" s="51" t="inlineStr">
        <is>
          <t>Tactical FX: the USD around the start and end of Fed cycles, when intervention works (only with fundamentals), trading flows with and against, intraday technical reversals, and the cross-currency basis.</t>
        </is>
      </c>
      <c r="I16" s="51" t="inlineStr">
        <is>
          <t>Trading Global Macro Markets (Willer &amp; Saunders, Wiley, 2024).</t>
        </is>
      </c>
      <c r="J16" s="51" t="inlineStr">
        <is>
          <t>trading_fx_tactics_ch13 (Willer &amp; Saunders, 2024)</t>
        </is>
      </c>
      <c r="K16" s="53" t="inlineStr">
        <is>
          <t>Ingested</t>
        </is>
      </c>
      <c r="L16" s="52" t="inlineStr">
        <is>
          <t>2026-10-20</t>
        </is>
      </c>
      <c r="M16" s="51" t="inlineStr">
        <is>
          <t>reclean (cleaner change)</t>
        </is>
      </c>
      <c r="N16" s="51" t="n"/>
      <c r="O16" s="52" t="n"/>
      <c r="P16" s="51" t="n"/>
    </row>
    <row r="17" ht="64" customHeight="1">
      <c r="A17" s="51" t="inlineStr">
        <is>
          <t>How to Trade EMFX (Ch. 4)</t>
        </is>
      </c>
      <c r="B17" s="51" t="inlineStr">
        <is>
          <t>Willer, Chandran &amp; Lam</t>
        </is>
      </c>
      <c r="C17" s="52" t="n">
        <v>2020</v>
      </c>
      <c r="D17" s="52" t="n">
        <v>5</v>
      </c>
      <c r="E17" s="53" t="inlineStr">
        <is>
          <t>Yes</t>
        </is>
      </c>
      <c r="F17" s="51" t="inlineStr">
        <is>
          <t>Book chapter</t>
        </is>
      </c>
      <c r="G17" s="51" t="inlineStr">
        <is>
          <t>#fx</t>
        </is>
      </c>
      <c r="H17" s="51" t="inlineStr">
        <is>
          <t>The EMFX framework: EM currencies trade on global factors more than on local rates, betas to the USD and risk, the JPY as the only special G10 case, and how carry does and does not help. The base for BRL.</t>
        </is>
      </c>
      <c r="I17" s="51" t="inlineStr">
        <is>
          <t>Trading Fixed Income and FX in Emerging Markets (Willer, Chandran &amp; Lam, Wiley, 2020).</t>
        </is>
      </c>
      <c r="J17" s="51" t="inlineStr">
        <is>
          <t>how_to_trade_emfx_ch4 (Willer, Chandran &amp; Lam, 2020)</t>
        </is>
      </c>
      <c r="K17" s="53" t="inlineStr">
        <is>
          <t>Ingested</t>
        </is>
      </c>
      <c r="L17" s="52" t="inlineStr">
        <is>
          <t>2026-10-20</t>
        </is>
      </c>
      <c r="M17" s="51" t="inlineStr">
        <is>
          <t>reclean (cleaner change)</t>
        </is>
      </c>
      <c r="N17" s="51" t="n"/>
      <c r="O17" s="52" t="n"/>
      <c r="P17" s="51" t="n"/>
    </row>
    <row r="18" ht="64" customHeight="1">
      <c r="A18" s="51" t="inlineStr">
        <is>
          <t>How to Trade EMFX: Event Guide (Ch. 5)</t>
        </is>
      </c>
      <c r="B18" s="51" t="inlineStr">
        <is>
          <t>Willer, Chandran &amp; Lam</t>
        </is>
      </c>
      <c r="C18" s="52" t="n">
        <v>2020</v>
      </c>
      <c r="D18" s="52" t="n">
        <v>5</v>
      </c>
      <c r="E18" s="53" t="inlineStr">
        <is>
          <t>Yes</t>
        </is>
      </c>
      <c r="F18" s="51" t="inlineStr">
        <is>
          <t>Book chapter</t>
        </is>
      </c>
      <c r="G18" s="51" t="inlineStr">
        <is>
          <t>#fx</t>
        </is>
      </c>
      <c r="H18" s="51" t="inlineStr">
        <is>
          <t>Event playbook for EMFX: FX vigilantes, central-bank intervention, emergency hikes, capital controls, IMF packages, EM elections, and data releases. Maps one-to-one onto BCB intervention and Brazilian election episodes.</t>
        </is>
      </c>
      <c r="I18" s="51" t="inlineStr">
        <is>
          <t>Trading Fixed Income and FX in Emerging Markets (Willer, Chandran &amp; Lam, Wiley, 2020).</t>
        </is>
      </c>
      <c r="J18" s="51" t="inlineStr">
        <is>
          <t>how_to_trade_emfx_event_guide_ch5 (Willer, Chandran &amp; Lam, 2020)</t>
        </is>
      </c>
      <c r="K18" s="53" t="inlineStr">
        <is>
          <t>Ingested</t>
        </is>
      </c>
      <c r="L18" s="52" t="inlineStr">
        <is>
          <t>2026-10-20</t>
        </is>
      </c>
      <c r="M18" s="51" t="inlineStr">
        <is>
          <t>reclean (cleaner change)</t>
        </is>
      </c>
      <c r="N18" s="51" t="n"/>
      <c r="O18" s="52" t="n"/>
      <c r="P18" s="51" t="n"/>
    </row>
    <row r="19" ht="64" customHeight="1">
      <c r="A19" s="51" t="inlineStr">
        <is>
          <t>How to Trade Credit (Ch. 11)</t>
        </is>
      </c>
      <c r="B19" s="51" t="inlineStr">
        <is>
          <t>Willer &amp; Saunders</t>
        </is>
      </c>
      <c r="C19" s="52" t="n">
        <v>2024</v>
      </c>
      <c r="D19" s="52" t="n">
        <v>4</v>
      </c>
      <c r="E19" s="53" t="inlineStr">
        <is>
          <t>Yes</t>
        </is>
      </c>
      <c r="F19" s="51" t="inlineStr">
        <is>
          <t>Book chapter</t>
        </is>
      </c>
      <c r="G19" s="51" t="inlineStr">
        <is>
          <t>#credit</t>
        </is>
      </c>
      <c r="H19" s="51" t="inlineStr">
        <is>
          <t>Credit in the macro cycle: credit against equities and Treasuries, defaults, the Fed and credit, carry, HY versus IG, rising stars and fallen angels, and credit as an early recession signal.</t>
        </is>
      </c>
      <c r="I19" s="51" t="inlineStr">
        <is>
          <t>Trading Global Macro Markets (Willer &amp; Saunders, Wiley, 2024).</t>
        </is>
      </c>
      <c r="J19" s="51" t="inlineStr">
        <is>
          <t>trading_credit_ch11 (Willer &amp; Saunders, 2024)</t>
        </is>
      </c>
      <c r="K19" s="53" t="inlineStr">
        <is>
          <t>Ingested</t>
        </is>
      </c>
      <c r="L19" s="52" t="inlineStr">
        <is>
          <t>2026-10-20</t>
        </is>
      </c>
      <c r="M19" s="51" t="inlineStr">
        <is>
          <t>reclean (cleaner change)</t>
        </is>
      </c>
      <c r="N19" s="51" t="n"/>
      <c r="O19" s="52" t="n"/>
      <c r="P19" s="51" t="n"/>
    </row>
    <row r="20" ht="79" customHeight="1">
      <c r="A20" s="51" t="inlineStr">
        <is>
          <t>How to Trade EM Credit (Ch. 9)</t>
        </is>
      </c>
      <c r="B20" s="51" t="inlineStr">
        <is>
          <t>Willer, Chandran &amp; Lam</t>
        </is>
      </c>
      <c r="C20" s="52" t="n">
        <v>2020</v>
      </c>
      <c r="D20" s="52" t="n">
        <v>3</v>
      </c>
      <c r="E20" s="53" t="inlineStr">
        <is>
          <t>Yes</t>
        </is>
      </c>
      <c r="F20" s="51" t="inlineStr">
        <is>
          <t>Book chapter</t>
        </is>
      </c>
      <c r="G20" s="51" t="inlineStr">
        <is>
          <t>#credit</t>
        </is>
      </c>
      <c r="H20" s="51" t="inlineStr">
        <is>
          <t>EM sovereign credit: the cycle over the structural trade, momentum, the rating sweet spot, Buffett/Dalio-style selection, pegs, the IMF, defaults and credit curves. Relevant to Brazil CDS and sovereign bonds.</t>
        </is>
      </c>
      <c r="I20" s="51" t="inlineStr">
        <is>
          <t>Trading Fixed Income and FX in Emerging Markets (Willer, Chandran &amp; Lam, Wiley, 2020).</t>
        </is>
      </c>
      <c r="J20" s="51" t="inlineStr">
        <is>
          <t>how_to_trade_em_credit_ch9 (Willer, Chandran &amp; Lam, 2020)</t>
        </is>
      </c>
      <c r="K20" s="53" t="inlineStr">
        <is>
          <t>Ingested</t>
        </is>
      </c>
      <c r="L20" s="52" t="inlineStr">
        <is>
          <t>2026-10-20</t>
        </is>
      </c>
      <c r="M20" s="51" t="inlineStr">
        <is>
          <t>reclean (cleaner change)</t>
        </is>
      </c>
      <c r="N20" s="51" t="n"/>
      <c r="O20" s="52" t="n"/>
      <c r="P20" s="51" t="n"/>
    </row>
    <row r="21" ht="79" customHeight="1">
      <c r="A21" s="51" t="inlineStr">
        <is>
          <t>How to Trade Equities: A Framework (Ch. 8)</t>
        </is>
      </c>
      <c r="B21" s="51" t="inlineStr">
        <is>
          <t>Willer &amp; Saunders</t>
        </is>
      </c>
      <c r="C21" s="52" t="n">
        <v>2024</v>
      </c>
      <c r="D21" s="52" t="n">
        <v>4</v>
      </c>
      <c r="E21" s="53" t="inlineStr">
        <is>
          <t>Yes</t>
        </is>
      </c>
      <c r="F21" s="51" t="inlineStr">
        <is>
          <t>Book chapter</t>
        </is>
      </c>
      <c r="G21" s="51" t="inlineStr">
        <is>
          <t>#equities</t>
        </is>
      </c>
      <c r="H21" s="51" t="inlineStr">
        <is>
          <t>Equities in the macro cycle: the long-run drift, the business cycle, the Fed, earnings, liquidity, bubbles, why valuation adds little for timing, momentum, and small caps.</t>
        </is>
      </c>
      <c r="I21" s="51" t="inlineStr">
        <is>
          <t>Trading Global Macro Markets (Willer &amp; Saunders, Wiley, 2024).</t>
        </is>
      </c>
      <c r="J21" s="51" t="inlineStr">
        <is>
          <t>trading_equities_framework_ch8 (Willer &amp; Saunders, 2024)</t>
        </is>
      </c>
      <c r="K21" s="53" t="inlineStr">
        <is>
          <t>Ingested</t>
        </is>
      </c>
      <c r="L21" s="52" t="inlineStr">
        <is>
          <t>2026-10-20</t>
        </is>
      </c>
      <c r="M21" s="51" t="inlineStr">
        <is>
          <t>reclean (cleaner change)</t>
        </is>
      </c>
      <c r="N21" s="51" t="n"/>
      <c r="O21" s="52" t="n"/>
      <c r="P21" s="51" t="n"/>
    </row>
    <row r="22" ht="64" customHeight="1">
      <c r="A22" s="51" t="inlineStr">
        <is>
          <t>How to Trade Equities: The Tactics (Ch. 9)</t>
        </is>
      </c>
      <c r="B22" s="51" t="inlineStr">
        <is>
          <t>Willer &amp; Saunders</t>
        </is>
      </c>
      <c r="C22" s="52" t="n">
        <v>2024</v>
      </c>
      <c r="D22" s="52" t="n">
        <v>3</v>
      </c>
      <c r="E22" s="53" t="inlineStr">
        <is>
          <t>Yes</t>
        </is>
      </c>
      <c r="F22" s="51" t="inlineStr">
        <is>
          <t>Book chapter</t>
        </is>
      </c>
      <c r="G22" s="51" t="inlineStr">
        <is>
          <t>#equities</t>
        </is>
      </c>
      <c r="H22" s="51" t="inlineStr">
        <is>
          <t>Tactical equity signals: spotting peaks and bottoms, positioning pain trades, insider and buyback flows, seasonality, reaction to news, and the FOMC effect.</t>
        </is>
      </c>
      <c r="I22" s="51" t="inlineStr">
        <is>
          <t>Trading Global Macro Markets (Willer &amp; Saunders, Wiley, 2024).</t>
        </is>
      </c>
      <c r="J22" s="51" t="inlineStr">
        <is>
          <t>trading_equities_tactics_ch9 (Willer &amp; Saunders, 2024)</t>
        </is>
      </c>
      <c r="K22" s="53" t="inlineStr">
        <is>
          <t>Ingested</t>
        </is>
      </c>
      <c r="L22" s="52" t="inlineStr">
        <is>
          <t>2026-10-20</t>
        </is>
      </c>
      <c r="M22" s="51" t="inlineStr">
        <is>
          <t>reclean (cleaner change)</t>
        </is>
      </c>
      <c r="N22" s="51" t="n"/>
      <c r="O22" s="52" t="n"/>
      <c r="P22" s="51" t="n"/>
    </row>
    <row r="23" ht="79" customHeight="1">
      <c r="A23" s="51" t="inlineStr">
        <is>
          <t>How to Trade Equities: Globalizing (Ch. 10)</t>
        </is>
      </c>
      <c r="B23" s="51" t="inlineStr">
        <is>
          <t>Willer &amp; Saunders</t>
        </is>
      </c>
      <c r="C23" s="52" t="n">
        <v>2024</v>
      </c>
      <c r="D23" s="52" t="n">
        <v>3</v>
      </c>
      <c r="E23" s="53" t="inlineStr">
        <is>
          <t>Yes</t>
        </is>
      </c>
      <c r="F23" s="51" t="inlineStr">
        <is>
          <t>Book chapter</t>
        </is>
      </c>
      <c r="G23" s="51" t="inlineStr">
        <is>
          <t>#equities</t>
        </is>
      </c>
      <c r="H23" s="51" t="inlineStr">
        <is>
          <t>Equities outside the US: the global cycle, the equity-FX link, Japan, Germany, UK, China and the rest of EM, plus tactical considerations.</t>
        </is>
      </c>
      <c r="I23" s="51" t="inlineStr">
        <is>
          <t>Trading Global Macro Markets (Willer &amp; Saunders, Wiley, 2024).</t>
        </is>
      </c>
      <c r="J23" s="51" t="inlineStr">
        <is>
          <t>trading_equities_globalizing_ch10 (Willer &amp; Saunders, 2024)</t>
        </is>
      </c>
      <c r="K23" s="53" t="inlineStr">
        <is>
          <t>Ingested</t>
        </is>
      </c>
      <c r="L23" s="52" t="inlineStr">
        <is>
          <t>2026-10-20</t>
        </is>
      </c>
      <c r="M23" s="51" t="inlineStr">
        <is>
          <t>reclean (cleaner change)</t>
        </is>
      </c>
      <c r="N23" s="51" t="n"/>
      <c r="O23" s="52" t="n"/>
      <c r="P23" s="51" t="n"/>
    </row>
    <row r="24" ht="64" customHeight="1">
      <c r="A24" s="51" t="inlineStr">
        <is>
          <t>How to Trade Commodities (Ch. 14)</t>
        </is>
      </c>
      <c r="B24" s="51" t="inlineStr">
        <is>
          <t>Willer &amp; Saunders</t>
        </is>
      </c>
      <c r="C24" s="52" t="n">
        <v>2024</v>
      </c>
      <c r="D24" s="52" t="n">
        <v>4</v>
      </c>
      <c r="E24" s="53" t="inlineStr">
        <is>
          <t>Yes</t>
        </is>
      </c>
      <c r="F24" s="51" t="inlineStr">
        <is>
          <t>Book chapter</t>
        </is>
      </c>
      <c r="G24" s="51" t="inlineStr">
        <is>
          <t>#commodities</t>
        </is>
      </c>
      <c r="H24" s="51" t="inlineStr">
        <is>
          <t>Commodities in the macro cycle: their regimes, the business cycle, trends, carry (roll yield), base metals, gold, trading energy and OPEC meetings, and positioning. Key for a commodity-exporter currency.</t>
        </is>
      </c>
      <c r="I24" s="51" t="inlineStr">
        <is>
          <t>Trading Global Macro Markets (Willer &amp; Saunders, Wiley, 2024).</t>
        </is>
      </c>
      <c r="J24" s="51" t="inlineStr">
        <is>
          <t>trading_commodities_ch14 (Willer &amp; Saunders, 2024)</t>
        </is>
      </c>
      <c r="K24" s="53" t="inlineStr">
        <is>
          <t>Ingested</t>
        </is>
      </c>
      <c r="L24" s="52" t="inlineStr">
        <is>
          <t>2026-10-20</t>
        </is>
      </c>
      <c r="M24" s="51" t="inlineStr">
        <is>
          <t>reclean (cleaner change)</t>
        </is>
      </c>
      <c r="N24" s="51" t="n"/>
      <c r="O24" s="52" t="n"/>
      <c r="P24" s="51" t="n"/>
    </row>
    <row r="25" ht="79" customHeight="1">
      <c r="A25" s="51" t="inlineStr">
        <is>
          <t>How to Allocate (Ch. 15)</t>
        </is>
      </c>
      <c r="B25" s="51" t="inlineStr">
        <is>
          <t>Willer &amp; Saunders</t>
        </is>
      </c>
      <c r="C25" s="52" t="n">
        <v>2024</v>
      </c>
      <c r="D25" s="52" t="n">
        <v>4</v>
      </c>
      <c r="E25" s="53" t="inlineStr">
        <is>
          <t>Yes</t>
        </is>
      </c>
      <c r="F25" s="51" t="inlineStr">
        <is>
          <t>Book chapter</t>
        </is>
      </c>
      <c r="G25" s="51" t="inlineStr">
        <is>
          <t>#asset_allocation</t>
        </is>
      </c>
      <c r="H25" s="51" t="inlineStr">
        <is>
          <t>Cross-asset allocation by macro regime: protecting against stagflation, regime-agnostic strategic allocation, equity versus credit versus government bonds, risk budgeting, and tactical allocation.</t>
        </is>
      </c>
      <c r="I25" s="51" t="inlineStr">
        <is>
          <t>Trading Global Macro Markets (Willer &amp; Saunders, Wiley, 2024).</t>
        </is>
      </c>
      <c r="J25" s="51" t="inlineStr">
        <is>
          <t>asset_allocation_macro_regimes_ch15 (Willer &amp; Saunders, 2024)</t>
        </is>
      </c>
      <c r="K25" s="53" t="inlineStr">
        <is>
          <t>Ingested</t>
        </is>
      </c>
      <c r="L25" s="52" t="inlineStr">
        <is>
          <t>2026-10-20</t>
        </is>
      </c>
      <c r="M25" s="51" t="inlineStr">
        <is>
          <t>reclean (cleaner change)</t>
        </is>
      </c>
      <c r="N25" s="51" t="n"/>
      <c r="O25" s="52" t="n"/>
      <c r="P25" s="51" t="n"/>
    </row>
    <row r="26" ht="64" customHeight="1">
      <c r="A26" s="51" t="inlineStr">
        <is>
          <t>Non Traditional Assets: Private Assets and Crypto (Ch. 16)</t>
        </is>
      </c>
      <c r="B26" s="51" t="inlineStr">
        <is>
          <t>Willer &amp; Saunders</t>
        </is>
      </c>
      <c r="C26" s="52" t="n">
        <v>2024</v>
      </c>
      <c r="D26" s="52" t="n">
        <v>2</v>
      </c>
      <c r="E26" s="53" t="inlineStr">
        <is>
          <t>Yes</t>
        </is>
      </c>
      <c r="F26" s="51" t="inlineStr">
        <is>
          <t>Book chapter</t>
        </is>
      </c>
      <c r="G26" s="51" t="inlineStr">
        <is>
          <t>#asset_allocation</t>
        </is>
      </c>
      <c r="H26" s="51" t="inlineStr">
        <is>
          <t>Crypto as a macro asset (allocation to bitcoin, trend), private equity and credit with unsmoothed returns, infrastructure and real estate for stagflation, and manager dispersion. Peripheral.</t>
        </is>
      </c>
      <c r="I26" s="51" t="inlineStr">
        <is>
          <t>Trading Global Macro Markets (Willer &amp; Saunders, Wiley, 2024).</t>
        </is>
      </c>
      <c r="J26" s="51" t="inlineStr">
        <is>
          <t>nontraditional_assets_crypto_private_ch16 (Willer &amp; Saunders, 2024)</t>
        </is>
      </c>
      <c r="K26" s="53" t="inlineStr">
        <is>
          <t>Ingested</t>
        </is>
      </c>
      <c r="L26" s="52" t="inlineStr">
        <is>
          <t>2026-10-20</t>
        </is>
      </c>
      <c r="M26" s="51" t="inlineStr">
        <is>
          <t>reclean (cleaner change)</t>
        </is>
      </c>
      <c r="N26" s="51" t="n"/>
      <c r="O26" s="52" t="n"/>
      <c r="P26" s="51" t="n"/>
    </row>
    <row r="27" ht="64" customHeight="1">
      <c r="A27" s="51" t="inlineStr">
        <is>
          <t>Portfolio Construction (Ch. 10)</t>
        </is>
      </c>
      <c r="B27" s="51" t="inlineStr">
        <is>
          <t>Willer, Chandran &amp; Lam</t>
        </is>
      </c>
      <c r="C27" s="52" t="n">
        <v>2020</v>
      </c>
      <c r="D27" s="52" t="n">
        <v>3</v>
      </c>
      <c r="E27" s="53" t="inlineStr">
        <is>
          <t>Yes</t>
        </is>
      </c>
      <c r="F27" s="51" t="inlineStr">
        <is>
          <t>Book chapter</t>
        </is>
      </c>
      <c r="G27" s="51" t="inlineStr">
        <is>
          <t>#asset_allocation</t>
        </is>
      </c>
      <c r="H27" s="51" t="inlineStr">
        <is>
          <t>Building an EM portfolio: benchmarks, frontier markets, allocation without Markowitz, derivatives for alpha, and ESG in EM.</t>
        </is>
      </c>
      <c r="I27" s="51" t="inlineStr">
        <is>
          <t>Trading Fixed Income and FX in Emerging Markets (Willer, Chandran &amp; Lam, Wiley, 2020).</t>
        </is>
      </c>
      <c r="J27" s="51" t="inlineStr">
        <is>
          <t>portfolio_construction_ch10 (Willer, Chandran &amp; Lam, 2020)</t>
        </is>
      </c>
      <c r="K27" s="53" t="inlineStr">
        <is>
          <t>Ingested</t>
        </is>
      </c>
      <c r="L27" s="52" t="inlineStr">
        <is>
          <t>2026-10-20</t>
        </is>
      </c>
      <c r="M27" s="51" t="inlineStr">
        <is>
          <t>reclean (cleaner change)</t>
        </is>
      </c>
      <c r="N27" s="51" t="n"/>
      <c r="O27" s="52" t="n"/>
      <c r="P27" s="51" t="n"/>
    </row>
  </sheetData>
  <autoFilter ref="A1:P27"/>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2026-07-08T15:04:05Z</dcterms:created>
  <dcterms:modified xsi:type="dcterms:W3CDTF">2026-10-20T20:03:51Z</dcterms:modified>
  <cp:lastModifiedBy>Vinicius Barcelos</cp:lastModifiedBy>
</cp:coreProperties>
</file>